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venorthumbriaac.sharepoint.com/sites/BuildPlanetZeroSensoryGarden2/Shared Documents/General/Project Charter/"/>
    </mc:Choice>
  </mc:AlternateContent>
  <xr:revisionPtr revIDLastSave="1470" documentId="11_6F89A886BECDA0047119EF7AF642F3FBD0411077" xr6:coauthVersionLast="47" xr6:coauthVersionMax="47" xr10:uidLastSave="{12619757-FEF9-4D69-8658-1E257169A06D}"/>
  <bookViews>
    <workbookView xWindow="-4180" yWindow="-20940" windowWidth="38080" windowHeight="20780" firstSheet="1" activeTab="5" xr2:uid="{00000000-000D-0000-FFFF-FFFF00000000}"/>
  </bookViews>
  <sheets>
    <sheet name="04.02.2025 v1.0 (2)" sheetId="5" state="hidden" r:id="rId1"/>
    <sheet name="Project Closure Schedule" sheetId="9" r:id="rId2"/>
    <sheet name="04.02.2025 v1.0" sheetId="1" r:id="rId3"/>
    <sheet name="To-Do (2)" sheetId="7" r:id="rId4"/>
    <sheet name="To-Do" sheetId="3" r:id="rId5"/>
    <sheet name="Gantt Chart Rework" sheetId="8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8" l="1"/>
  <c r="G10" i="8"/>
  <c r="G72" i="8"/>
  <c r="G68" i="8"/>
  <c r="G67" i="8"/>
  <c r="G56" i="8"/>
  <c r="G52" i="8"/>
  <c r="G51" i="8"/>
  <c r="G13" i="8"/>
  <c r="G45" i="8"/>
  <c r="G39" i="8"/>
  <c r="G11" i="8"/>
  <c r="G77" i="8"/>
  <c r="G76" i="8"/>
  <c r="G75" i="8"/>
  <c r="G74" i="8"/>
  <c r="G73" i="8"/>
  <c r="G71" i="8"/>
  <c r="G70" i="8"/>
  <c r="G69" i="8"/>
  <c r="G66" i="8"/>
  <c r="G65" i="8"/>
  <c r="G64" i="8"/>
  <c r="G63" i="8"/>
  <c r="G62" i="8"/>
  <c r="G61" i="8"/>
  <c r="G60" i="8"/>
  <c r="G59" i="8"/>
  <c r="G58" i="8"/>
  <c r="G57" i="8"/>
  <c r="G55" i="8"/>
  <c r="G54" i="8"/>
  <c r="G53" i="8"/>
  <c r="G50" i="8"/>
  <c r="G49" i="8"/>
  <c r="G48" i="8"/>
  <c r="G47" i="8"/>
  <c r="G46" i="8"/>
  <c r="G44" i="8"/>
  <c r="G43" i="8"/>
  <c r="G42" i="8"/>
  <c r="G41" i="8"/>
  <c r="G40" i="8"/>
  <c r="G38" i="8"/>
  <c r="G37" i="8"/>
  <c r="G36" i="8"/>
  <c r="G35" i="8"/>
  <c r="G33" i="8"/>
  <c r="G32" i="8"/>
  <c r="G31" i="8"/>
  <c r="G30" i="8"/>
  <c r="G29" i="8"/>
  <c r="G28" i="8"/>
  <c r="G27" i="8"/>
  <c r="G26" i="8"/>
  <c r="G25" i="8"/>
  <c r="G24" i="8"/>
  <c r="G23" i="8"/>
  <c r="G22" i="8"/>
  <c r="G21" i="8"/>
  <c r="G20" i="8"/>
  <c r="G19" i="8"/>
  <c r="G18" i="8"/>
  <c r="G17" i="8"/>
  <c r="G16" i="8"/>
  <c r="G15" i="8"/>
  <c r="G14" i="8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F33" i="9"/>
  <c r="F34" i="9"/>
  <c r="F35" i="9"/>
  <c r="F36" i="9"/>
  <c r="F37" i="9"/>
  <c r="F38" i="9"/>
  <c r="F39" i="9"/>
  <c r="F41" i="9"/>
  <c r="F42" i="9"/>
  <c r="F43" i="9"/>
  <c r="F44" i="9"/>
  <c r="F45" i="9"/>
  <c r="F46" i="9"/>
  <c r="F47" i="9"/>
  <c r="F48" i="9"/>
  <c r="F49" i="9"/>
  <c r="F50" i="9"/>
  <c r="F52" i="9"/>
  <c r="F51" i="9"/>
  <c r="F53" i="9"/>
  <c r="F54" i="9"/>
  <c r="F55" i="9"/>
  <c r="F56" i="9"/>
  <c r="F57" i="9"/>
  <c r="F58" i="9"/>
  <c r="F59" i="9"/>
  <c r="F60" i="9"/>
  <c r="F61" i="9"/>
  <c r="F62" i="9"/>
  <c r="G62" i="9" s="1"/>
  <c r="F63" i="9"/>
  <c r="G63" i="9" s="1"/>
  <c r="F12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5" i="9"/>
  <c r="G36" i="9"/>
  <c r="G37" i="9"/>
  <c r="G38" i="9"/>
  <c r="G41" i="9"/>
  <c r="G42" i="9"/>
  <c r="G43" i="9"/>
  <c r="G44" i="9"/>
  <c r="G46" i="9"/>
  <c r="G47" i="9"/>
  <c r="G48" i="9"/>
  <c r="G49" i="9"/>
  <c r="G50" i="9"/>
  <c r="G53" i="9"/>
  <c r="G54" i="9"/>
  <c r="G55" i="9"/>
  <c r="G57" i="9"/>
  <c r="G58" i="9"/>
  <c r="G59" i="9"/>
  <c r="G60" i="9"/>
  <c r="G61" i="9"/>
  <c r="F11" i="9"/>
  <c r="G13" i="9"/>
  <c r="G14" i="9"/>
  <c r="G12" i="9"/>
  <c r="G11" i="9"/>
  <c r="D40" i="9"/>
  <c r="C40" i="9"/>
  <c r="F40" i="9" l="1"/>
  <c r="G40" i="9"/>
</calcChain>
</file>

<file path=xl/sharedStrings.xml><?xml version="1.0" encoding="utf-8"?>
<sst xmlns="http://schemas.openxmlformats.org/spreadsheetml/2006/main" count="512" uniqueCount="230">
  <si>
    <t>West End Community Sensory Garden</t>
  </si>
  <si>
    <t>Build Planet Zero #2</t>
  </si>
  <si>
    <t>KEYS</t>
  </si>
  <si>
    <t>Completed</t>
  </si>
  <si>
    <t>Not completed</t>
  </si>
  <si>
    <t>Overdue tasks</t>
  </si>
  <si>
    <t>Delayed Completion</t>
  </si>
  <si>
    <t>Week-1</t>
  </si>
  <si>
    <t>Week-2</t>
  </si>
  <si>
    <t>Week-3</t>
  </si>
  <si>
    <t>Week-4</t>
  </si>
  <si>
    <t>Week-5</t>
  </si>
  <si>
    <t>Week-6</t>
  </si>
  <si>
    <t>Week-7</t>
  </si>
  <si>
    <t>Week-8</t>
  </si>
  <si>
    <t>Week-9</t>
  </si>
  <si>
    <t>Week-10</t>
  </si>
  <si>
    <t>Week-11</t>
  </si>
  <si>
    <t>Week-12</t>
  </si>
  <si>
    <t>Week 13</t>
  </si>
  <si>
    <t>Week 14</t>
  </si>
  <si>
    <t>Week 15</t>
  </si>
  <si>
    <t>Task ID</t>
  </si>
  <si>
    <t>Task/Activity</t>
  </si>
  <si>
    <t>Start Date</t>
  </si>
  <si>
    <t>End Date</t>
  </si>
  <si>
    <t>Key Player</t>
  </si>
  <si>
    <t>Days</t>
  </si>
  <si>
    <t>Progress</t>
  </si>
  <si>
    <t>A</t>
  </si>
  <si>
    <t>Project Brief</t>
  </si>
  <si>
    <t>Research on MMC (Modern Methods of Construction) of Dome Structures</t>
  </si>
  <si>
    <t>Conduct a comprehensive literature review</t>
  </si>
  <si>
    <t>Perform benchmarking and case study analysis</t>
  </si>
  <si>
    <t>Material and structural evaluation</t>
  </si>
  <si>
    <t>Research on Sustainability and Net Zero Carbon</t>
  </si>
  <si>
    <t>`</t>
  </si>
  <si>
    <t>Review sustainability standards and best practices</t>
  </si>
  <si>
    <t>Conduct an environmental impact and material assessment</t>
  </si>
  <si>
    <t>Develop an energy and waste management strategy</t>
  </si>
  <si>
    <t>Design a 3D Model Integrating Dome of Vision and Hanging Gardens of Babylon Concepts</t>
  </si>
  <si>
    <t>Ideation and conceptual sketching</t>
  </si>
  <si>
    <t>Develop and refine 3D model</t>
  </si>
  <si>
    <t>Integrate Net-Zero Carbon and Sustainability Goals into the Design</t>
  </si>
  <si>
    <t>Integrate Renewable Energy Solutions</t>
  </si>
  <si>
    <t>Implement passive design strategies</t>
  </si>
  <si>
    <t>Ensure compliance with LEED and BREEAM</t>
  </si>
  <si>
    <t>Integrate Modular and Offsite Design Solutions</t>
  </si>
  <si>
    <t>Research prefabrication and modular construction techniques</t>
  </si>
  <si>
    <t>Develop assembly plan</t>
  </si>
  <si>
    <t>Conduct risk assessment and establish contingency plans</t>
  </si>
  <si>
    <t>Project Closure</t>
  </si>
  <si>
    <t>Prepare for project Closure</t>
  </si>
  <si>
    <t>3.1.2</t>
  </si>
  <si>
    <t>Create Project Closure plan</t>
  </si>
  <si>
    <t>Kufre</t>
  </si>
  <si>
    <t>3.1.3</t>
  </si>
  <si>
    <t>Mindmap client brief to deliverables</t>
  </si>
  <si>
    <t>3.1.1</t>
  </si>
  <si>
    <t>Structure Final project report including heading and subheading and share with team for feedback</t>
  </si>
  <si>
    <t>Shebi</t>
  </si>
  <si>
    <t>3.1.4</t>
  </si>
  <si>
    <t>Develop the report concurrently through the design phase</t>
  </si>
  <si>
    <t>BIM design phase 1</t>
  </si>
  <si>
    <t>Jayaprekesh</t>
  </si>
  <si>
    <t>3.2.1</t>
  </si>
  <si>
    <t>Create spatial design of the layout</t>
  </si>
  <si>
    <t>3.2.2</t>
  </si>
  <si>
    <t>Situate all structures within layout</t>
  </si>
  <si>
    <t>3.2.3</t>
  </si>
  <si>
    <t>Integrate rainwater harvesting and sustainable water management solutions into the design.</t>
  </si>
  <si>
    <t>3.2.4</t>
  </si>
  <si>
    <t>Create 2D and 3D sketch of final design option</t>
  </si>
  <si>
    <t>3.2.5</t>
  </si>
  <si>
    <t>Share with project team for feedback</t>
  </si>
  <si>
    <t>BIM Design phase 2</t>
  </si>
  <si>
    <t>Preliminary Design</t>
  </si>
  <si>
    <t>4.1.1</t>
  </si>
  <si>
    <t>Develop reviewed sketch to LOD 200 for conceptualization of renewable energy integration and modularizattion</t>
  </si>
  <si>
    <t>4.1.2</t>
  </si>
  <si>
    <t>Research on BIM based DfMA of design</t>
  </si>
  <si>
    <t>4.1.3</t>
  </si>
  <si>
    <t>Research and report on suitable renewable energy for integration</t>
  </si>
  <si>
    <t>4.1.4</t>
  </si>
  <si>
    <t>Identify optimal locations within the design for solar panels and other renewable systems.</t>
  </si>
  <si>
    <t>4.1.7</t>
  </si>
  <si>
    <t>Simulate the impact of passive strategies on overall energy consumption.</t>
  </si>
  <si>
    <t>4.1.8</t>
  </si>
  <si>
    <t>Develop integrated report of DfMA and renewable energy integration into Preliminary Design</t>
  </si>
  <si>
    <t>4.1.9</t>
  </si>
  <si>
    <t>BIM design phase 3</t>
  </si>
  <si>
    <t>4.2.1</t>
  </si>
  <si>
    <t>Develop detailed 3D design of structure at LOD 300 incoperating renewable energy and DfMA solutions</t>
  </si>
  <si>
    <t>4.2.2</t>
  </si>
  <si>
    <t xml:space="preserve">Third Industrial Supervision </t>
  </si>
  <si>
    <t>Team</t>
  </si>
  <si>
    <t>4.2.3</t>
  </si>
  <si>
    <t>Extract detailed material schedule for verification of embodied carbon goals and estimation</t>
  </si>
  <si>
    <t>4.2.4</t>
  </si>
  <si>
    <t>Prepare material selecction report for final report</t>
  </si>
  <si>
    <t>Collins</t>
  </si>
  <si>
    <t>4.2.5</t>
  </si>
  <si>
    <t>Reseach potential suppliers and their loaction for embodied carbon goals</t>
  </si>
  <si>
    <t>4.2.6</t>
  </si>
  <si>
    <t>Prepare report on potential supplier stakeholders for final report</t>
  </si>
  <si>
    <t>4.2.7</t>
  </si>
  <si>
    <t>Create 3D rendered model in Lumion/Twinmotion.</t>
  </si>
  <si>
    <t>Ensure Certification and Compliance</t>
  </si>
  <si>
    <t>4.3.1</t>
  </si>
  <si>
    <t>Mind Map design elements to the requirements of Passivhaus certification</t>
  </si>
  <si>
    <t>4.3.2</t>
  </si>
  <si>
    <t>Mind Map design elements to the requirements of client brief</t>
  </si>
  <si>
    <t>4.3.3</t>
  </si>
  <si>
    <t>Identify any gaps or areas for improvement.</t>
  </si>
  <si>
    <t>4.3.4</t>
  </si>
  <si>
    <t>Prepare a Passivhause compliance report as a section for Project Report</t>
  </si>
  <si>
    <t>4.3.5</t>
  </si>
  <si>
    <t>Create a draft closeout presentation</t>
  </si>
  <si>
    <t>Document preperation and submission</t>
  </si>
  <si>
    <t>Construction Risk Assesment and Mitigation</t>
  </si>
  <si>
    <t>5.1.1</t>
  </si>
  <si>
    <t>Identify risks associated with delivery of design</t>
  </si>
  <si>
    <t>5.1.2</t>
  </si>
  <si>
    <t>Develop mitigation strategies and document contingency plans.</t>
  </si>
  <si>
    <t>5.1.3</t>
  </si>
  <si>
    <t>Update tproject report to include Risk and Mitigation</t>
  </si>
  <si>
    <t>5.1.5</t>
  </si>
  <si>
    <t xml:space="preserve">Coming in to land support </t>
  </si>
  <si>
    <t>5.1.4</t>
  </si>
  <si>
    <t>VR walkthrough and high-quality rendered images of final model</t>
  </si>
  <si>
    <t>Final Project Presentation</t>
  </si>
  <si>
    <t>5.2.1</t>
  </si>
  <si>
    <t>Collect and integrated project infographics required</t>
  </si>
  <si>
    <t>5.2.2</t>
  </si>
  <si>
    <t>5.2.3</t>
  </si>
  <si>
    <t>Final professional training session</t>
  </si>
  <si>
    <t>5.2.4</t>
  </si>
  <si>
    <t>Update and submit based on feedback</t>
  </si>
  <si>
    <t>Project Report</t>
  </si>
  <si>
    <t>5.3.1</t>
  </si>
  <si>
    <t>Complete project report</t>
  </si>
  <si>
    <t>5.3.2</t>
  </si>
  <si>
    <t>5.3.3</t>
  </si>
  <si>
    <t>Update report based on feedback</t>
  </si>
  <si>
    <t>5.3.4</t>
  </si>
  <si>
    <t xml:space="preserve">Client Close-Out meetings </t>
  </si>
  <si>
    <t>5.3.5</t>
  </si>
  <si>
    <t xml:space="preserve">End of Project Celebration </t>
  </si>
  <si>
    <t>z</t>
  </si>
  <si>
    <t>OBJ NO.</t>
  </si>
  <si>
    <t>Objective Description</t>
  </si>
  <si>
    <t>Task Number</t>
  </si>
  <si>
    <t>Task Description</t>
  </si>
  <si>
    <t>Start</t>
  </si>
  <si>
    <t>end</t>
  </si>
  <si>
    <t>Responsible</t>
  </si>
  <si>
    <t>Conduct a Comprehensive Literature Review</t>
  </si>
  <si>
    <t>Identify and list key academic journals, industry publications, and reports on MMC and dome construction.</t>
  </si>
  <si>
    <t>Gather relevant case studies and technical documents.</t>
  </si>
  <si>
    <t>Summarize findings in a mini report that outlines best practices, innovations, and challenges. This is a section of our final consultancy report.</t>
  </si>
  <si>
    <t>Perform Benchmarking and Case Study Analysis</t>
  </si>
  <si>
    <t>Select at least three successful dome projects that have used MMC.</t>
  </si>
  <si>
    <t>Analyze project documentation, performance metrics, and cost-benefit analyses.</t>
  </si>
  <si>
    <t>Interview or consult experts (if feasible) to validate findings.</t>
  </si>
  <si>
    <t>Prepare a comparative analysis document highlighting key lessons learned.</t>
  </si>
  <si>
    <t>Material and Structural Evaluation</t>
  </si>
  <si>
    <t>Compile a list of sustainable materials suitable for dome construction.</t>
  </si>
  <si>
    <t>Request technical data and sample analyses from suppliers.</t>
  </si>
  <si>
    <t>Conduct or review structural simulations focusing on load-bearing capacity and durability.</t>
  </si>
  <si>
    <t>Document the pros and cons of each material option in relation to sustainability and cost.</t>
  </si>
  <si>
    <t>Review Sustainability Standards and Best Practices</t>
  </si>
  <si>
    <t>Identify and review standards such as LEED, BREEAM, and other green building certifications.</t>
  </si>
  <si>
    <t>Gather data on sustainable construction methods and renewable energy integrations.</t>
  </si>
  <si>
    <t>Conduct an Environmental Impact and Material Assessment</t>
  </si>
  <si>
    <t>Create a sustainability checklist tailored to the project’s scope.</t>
  </si>
  <si>
    <t>Develop a matrix comparing low-carbon, recycled, and locally sourced material options.</t>
  </si>
  <si>
    <t>Perform an environmental impact assessment (EIA) for each material.</t>
  </si>
  <si>
    <t>Develop an Energy and Waste Management Strategy</t>
  </si>
  <si>
    <t>Recommend material choices based on sustainability, performance, and cost criteria.</t>
  </si>
  <si>
    <t>Identify potential renewable energy systems (solar, wind, rainwater harvesting).</t>
  </si>
  <si>
    <t>Map out energy efficiency and passive design strategies.</t>
  </si>
  <si>
    <t>Draft a waste management and reduction plan.</t>
  </si>
  <si>
    <t>Integrate these strategies into a comprehensive sustainability guideline document.</t>
  </si>
  <si>
    <t>Ideation and Conceptual Sketching</t>
  </si>
  <si>
    <t>Organize a creative brainstorming session with key stakeholders.</t>
  </si>
  <si>
    <t>Develop initial hand sketches or digital mock-ups that combine both design inspirations.</t>
  </si>
  <si>
    <t>Validate early concepts against project requirements and sustainability criteria.</t>
  </si>
  <si>
    <t>Software Selection and 3D Modeling Setup</t>
  </si>
  <si>
    <t>Evaluate and select 3D modeling software (e.g., Revit, Rhino, SketchUp).</t>
  </si>
  <si>
    <t>Install and configure the chosen software with necessary plugins and libraries.</t>
  </si>
  <si>
    <t>Provide a brief training session or tutorial for team members on the chosen platform.</t>
  </si>
  <si>
    <t>Develop and Refine the 3D Model</t>
  </si>
  <si>
    <t>Build an initial 3D model integrating the dome structure with garden elements.</t>
  </si>
  <si>
    <t>Simulate environmental factors (light, ventilation, and energy flows) in the design.</t>
  </si>
  <si>
    <t>Present the model to stakeholders and gather structured feedback.</t>
  </si>
  <si>
    <t>Incorporate revisions and finalize the 3D model for further development.</t>
  </si>
  <si>
    <t>Model energy output and efficiency impacts.</t>
  </si>
  <si>
    <t>Validate renewable energy integration against the sustainability checklist.</t>
  </si>
  <si>
    <t>Implement Passive Design Strategies</t>
  </si>
  <si>
    <t>Research passive heating, cooling, and ventilation strategies.</t>
  </si>
  <si>
    <t>Map design elements to the requirements of green building certifications (e.g., LEED, BREEAM).</t>
  </si>
  <si>
    <t>Prepare a compliance report and action plan to address certification criteria.</t>
  </si>
  <si>
    <t>Research Prefabrication and Modular Construction Techniques</t>
  </si>
  <si>
    <t>Investigate current trends and best practices in prefabrication.</t>
  </si>
  <si>
    <t>Identify and shortlist suppliers and manufacturers experienced in modular construction.</t>
  </si>
  <si>
    <t>Review case studies on modular building projects to extract lessons and best practices.</t>
  </si>
  <si>
    <t>Develop a Detailed Modular Design and Assembly Plan</t>
  </si>
  <si>
    <t>Break down the design into modular components.</t>
  </si>
  <si>
    <t>Create detailed assembly and installation plans including logistics, transport, and on-site integration.</t>
  </si>
  <si>
    <t>Collaborate with potential suppliers to verify design feasibility and cost implications.</t>
  </si>
  <si>
    <t>Conduct Risk Assessment and Establish Contingency Plans</t>
  </si>
  <si>
    <t>Identify risks associated with modular and offsite construction (e.g., transportation delays, assembly issues).</t>
  </si>
  <si>
    <t>Update the master schedule to reflect risk management measures and review timelines.</t>
  </si>
  <si>
    <t>Purpose</t>
  </si>
  <si>
    <t>To-Do List</t>
  </si>
  <si>
    <t>R</t>
  </si>
  <si>
    <t>C</t>
  </si>
  <si>
    <t>I</t>
  </si>
  <si>
    <t>STATUS</t>
  </si>
  <si>
    <t>Establish a robust knowledge base and best practice framework for using MMC in dome construction.</t>
  </si>
  <si>
    <t>Ensure the project integrates sustainable practices and meets net-zero carbon targets.</t>
  </si>
  <si>
    <t>Create a digital design that embodies the visionary elements of the Dome of Vision and the Hanging Gardens while adhering to sustainability principles.</t>
  </si>
  <si>
    <t>Ensure that all design elements support net-zero carbon ambitions and sustainability.</t>
  </si>
  <si>
    <t>Enhance construction efficiency and flexibility through modular and offsite design strategies.</t>
  </si>
  <si>
    <t>Week -8</t>
  </si>
  <si>
    <t>Week 11</t>
  </si>
  <si>
    <t>Week 12</t>
  </si>
  <si>
    <t>Week - 14</t>
  </si>
  <si>
    <t>Task</t>
  </si>
  <si>
    <t>Key Players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</si>
</sst>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92D05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444444"/>
      <name val="Calibri"/>
      <family val="2"/>
    </font>
    <font>
      <b/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000000"/>
      <name val="Calibri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000000"/>
      <name val="Calibri"/>
      <family val="2"/>
      <scheme val="minor"/>
    </font>
    <font>
      <sz val="8"/>
      <color theme="1"/>
      <name val="Calibri"/>
      <family val="2"/>
      <scheme val="minor"/>
    </font>
    <font>
      <b/>
      <i/>
      <sz val="8"/>
      <color theme="2" tint="-0.499984740745262"/>
      <name val="Calibri"/>
      <family val="2"/>
      <scheme val="minor"/>
    </font>
    <font>
      <b/>
      <sz val="8"/>
      <color theme="2" tint="-0.499984740745262"/>
      <name val="Calibri"/>
      <family val="2"/>
      <scheme val="minor"/>
    </font>
    <font>
      <sz val="11"/>
      <color rgb="FFFFFF0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D0CECE"/>
        <bgColor rgb="FF000000"/>
      </patternFill>
    </fill>
    <fill>
      <patternFill patternType="solid">
        <fgColor rgb="FFAEAAAA"/>
        <bgColor rgb="FF000000"/>
      </patternFill>
    </fill>
    <fill>
      <patternFill patternType="solid">
        <fgColor rgb="FFFFE699"/>
        <bgColor rgb="FF000000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1">
    <border>
      <left/>
      <right/>
      <top/>
      <bottom/>
      <diagonal/>
    </border>
    <border>
      <left/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 style="thin">
        <color rgb="FFF2F2F2"/>
      </bottom>
      <diagonal/>
    </border>
    <border>
      <left style="thin">
        <color rgb="FFD9D9D9"/>
      </left>
      <right/>
      <top/>
      <bottom/>
      <diagonal/>
    </border>
    <border>
      <left style="thin">
        <color rgb="FFD9D9D9"/>
      </left>
      <right/>
      <top/>
      <bottom style="thin">
        <color rgb="FFF2F2F2"/>
      </bottom>
      <diagonal/>
    </border>
    <border>
      <left style="thin">
        <color rgb="FFD9D9D9"/>
      </left>
      <right/>
      <top style="thin">
        <color rgb="FFF2F2F2"/>
      </top>
      <bottom style="thin">
        <color rgb="FFF2F2F2"/>
      </bottom>
      <diagonal/>
    </border>
    <border>
      <left/>
      <right/>
      <top style="thin">
        <color rgb="FFF2F2F2"/>
      </top>
      <bottom style="thin">
        <color rgb="FFF2F2F2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17">
    <xf numFmtId="0" fontId="0" fillId="0" borderId="0" xfId="0"/>
    <xf numFmtId="0" fontId="1" fillId="0" borderId="0" xfId="0" applyFont="1"/>
    <xf numFmtId="16" fontId="1" fillId="0" borderId="0" xfId="0" applyNumberFormat="1" applyFont="1"/>
    <xf numFmtId="16" fontId="1" fillId="0" borderId="0" xfId="0" applyNumberFormat="1" applyFont="1" applyAlignment="1">
      <alignment textRotation="90"/>
    </xf>
    <xf numFmtId="0" fontId="1" fillId="0" borderId="0" xfId="0" applyFont="1" applyAlignment="1">
      <alignment textRotation="90"/>
    </xf>
    <xf numFmtId="0" fontId="1" fillId="2" borderId="2" xfId="0" applyFont="1" applyFill="1" applyBorder="1"/>
    <xf numFmtId="0" fontId="2" fillId="3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1" fillId="0" borderId="1" xfId="0" applyFont="1" applyBorder="1"/>
    <xf numFmtId="0" fontId="1" fillId="0" borderId="3" xfId="0" applyFont="1" applyBorder="1" applyAlignment="1">
      <alignment horizontal="center"/>
    </xf>
    <xf numFmtId="16" fontId="1" fillId="0" borderId="3" xfId="0" applyNumberFormat="1" applyFont="1" applyBorder="1" applyAlignment="1">
      <alignment horizontal="left"/>
    </xf>
    <xf numFmtId="0" fontId="1" fillId="0" borderId="3" xfId="0" applyFont="1" applyBorder="1" applyAlignment="1">
      <alignment horizontal="left"/>
    </xf>
    <xf numFmtId="9" fontId="1" fillId="0" borderId="3" xfId="0" applyNumberFormat="1" applyFont="1" applyBorder="1" applyAlignment="1">
      <alignment horizontal="center"/>
    </xf>
    <xf numFmtId="0" fontId="1" fillId="4" borderId="3" xfId="0" applyFont="1" applyFill="1" applyBorder="1" applyAlignment="1">
      <alignment horizontal="left"/>
    </xf>
    <xf numFmtId="0" fontId="1" fillId="0" borderId="5" xfId="0" applyFont="1" applyBorder="1"/>
    <xf numFmtId="0" fontId="1" fillId="0" borderId="0" xfId="0" applyFont="1" applyAlignment="1">
      <alignment horizontal="left"/>
    </xf>
    <xf numFmtId="0" fontId="1" fillId="0" borderId="9" xfId="0" applyFont="1" applyBorder="1" applyAlignment="1">
      <alignment horizontal="left"/>
    </xf>
    <xf numFmtId="0" fontId="2" fillId="0" borderId="0" xfId="0" applyFont="1"/>
    <xf numFmtId="0" fontId="4" fillId="0" borderId="0" xfId="0" applyFont="1"/>
    <xf numFmtId="0" fontId="2" fillId="0" borderId="0" xfId="0" applyFont="1" applyAlignment="1">
      <alignment horizontal="center"/>
    </xf>
    <xf numFmtId="0" fontId="1" fillId="0" borderId="9" xfId="0" applyFont="1" applyBorder="1" applyAlignment="1">
      <alignment horizontal="center"/>
    </xf>
    <xf numFmtId="0" fontId="6" fillId="5" borderId="0" xfId="0" applyFont="1" applyFill="1"/>
    <xf numFmtId="0" fontId="0" fillId="6" borderId="0" xfId="0" applyFill="1"/>
    <xf numFmtId="0" fontId="3" fillId="0" borderId="0" xfId="0" applyFont="1"/>
    <xf numFmtId="0" fontId="8" fillId="0" borderId="0" xfId="0" applyFont="1"/>
    <xf numFmtId="0" fontId="7" fillId="0" borderId="5" xfId="0" applyFont="1" applyBorder="1"/>
    <xf numFmtId="0" fontId="0" fillId="0" borderId="0" xfId="0" applyAlignment="1">
      <alignment vertical="center" wrapText="1"/>
    </xf>
    <xf numFmtId="0" fontId="10" fillId="7" borderId="10" xfId="0" applyFont="1" applyFill="1" applyBorder="1" applyAlignment="1">
      <alignment horizontal="center" vertical="center" wrapText="1"/>
    </xf>
    <xf numFmtId="0" fontId="10" fillId="7" borderId="10" xfId="0" applyFont="1" applyFill="1" applyBorder="1" applyAlignment="1">
      <alignment horizontal="center" vertical="center"/>
    </xf>
    <xf numFmtId="0" fontId="0" fillId="0" borderId="10" xfId="0" applyBorder="1" applyAlignment="1">
      <alignment vertical="center" wrapText="1"/>
    </xf>
    <xf numFmtId="0" fontId="0" fillId="0" borderId="10" xfId="0" applyBorder="1"/>
    <xf numFmtId="0" fontId="9" fillId="8" borderId="10" xfId="0" applyFont="1" applyFill="1" applyBorder="1" applyAlignment="1">
      <alignment vertical="center" wrapText="1"/>
    </xf>
    <xf numFmtId="0" fontId="9" fillId="8" borderId="9" xfId="0" applyFont="1" applyFill="1" applyBorder="1" applyAlignment="1">
      <alignment horizontal="center"/>
    </xf>
    <xf numFmtId="0" fontId="9" fillId="8" borderId="3" xfId="0" applyFont="1" applyFill="1" applyBorder="1" applyAlignment="1">
      <alignment horizontal="center"/>
    </xf>
    <xf numFmtId="0" fontId="1" fillId="0" borderId="4" xfId="0" applyFont="1" applyBorder="1"/>
    <xf numFmtId="0" fontId="7" fillId="0" borderId="4" xfId="0" applyFont="1" applyBorder="1"/>
    <xf numFmtId="0" fontId="1" fillId="0" borderId="7" xfId="0" applyFont="1" applyBorder="1"/>
    <xf numFmtId="0" fontId="1" fillId="0" borderId="8" xfId="0" applyFont="1" applyBorder="1"/>
    <xf numFmtId="0" fontId="7" fillId="0" borderId="8" xfId="0" applyFont="1" applyBorder="1"/>
    <xf numFmtId="16" fontId="0" fillId="0" borderId="0" xfId="0" applyNumberFormat="1"/>
    <xf numFmtId="0" fontId="7" fillId="0" borderId="7" xfId="0" applyFont="1" applyBorder="1"/>
    <xf numFmtId="0" fontId="11" fillId="5" borderId="7" xfId="0" applyFont="1" applyFill="1" applyBorder="1"/>
    <xf numFmtId="0" fontId="11" fillId="5" borderId="0" xfId="0" applyFont="1" applyFill="1"/>
    <xf numFmtId="0" fontId="1" fillId="5" borderId="7" xfId="0" applyFont="1" applyFill="1" applyBorder="1"/>
    <xf numFmtId="0" fontId="1" fillId="5" borderId="8" xfId="0" applyFont="1" applyFill="1" applyBorder="1"/>
    <xf numFmtId="0" fontId="0" fillId="5" borderId="0" xfId="0" applyFill="1"/>
    <xf numFmtId="0" fontId="1" fillId="9" borderId="8" xfId="0" applyFont="1" applyFill="1" applyBorder="1"/>
    <xf numFmtId="0" fontId="1" fillId="10" borderId="8" xfId="0" applyFont="1" applyFill="1" applyBorder="1"/>
    <xf numFmtId="0" fontId="1" fillId="10" borderId="0" xfId="0" applyFont="1" applyFill="1"/>
    <xf numFmtId="0" fontId="0" fillId="11" borderId="0" xfId="0" applyFill="1"/>
    <xf numFmtId="0" fontId="1" fillId="5" borderId="6" xfId="0" applyFont="1" applyFill="1" applyBorder="1"/>
    <xf numFmtId="0" fontId="1" fillId="5" borderId="4" xfId="0" applyFont="1" applyFill="1" applyBorder="1"/>
    <xf numFmtId="0" fontId="4" fillId="0" borderId="10" xfId="0" applyFont="1" applyBorder="1" applyAlignment="1">
      <alignment vertical="center" wrapText="1"/>
    </xf>
    <xf numFmtId="0" fontId="12" fillId="0" borderId="10" xfId="0" applyFont="1" applyBorder="1" applyAlignment="1">
      <alignment horizontal="right" vertical="center" wrapText="1"/>
    </xf>
    <xf numFmtId="0" fontId="12" fillId="0" borderId="10" xfId="0" applyFont="1" applyBorder="1" applyAlignment="1">
      <alignment vertical="center" wrapText="1"/>
    </xf>
    <xf numFmtId="0" fontId="10" fillId="7" borderId="11" xfId="0" applyFont="1" applyFill="1" applyBorder="1" applyAlignment="1">
      <alignment horizontal="center" vertical="center" wrapText="1"/>
    </xf>
    <xf numFmtId="0" fontId="12" fillId="0" borderId="0" xfId="0" applyFont="1"/>
    <xf numFmtId="0" fontId="0" fillId="9" borderId="0" xfId="0" applyFill="1"/>
    <xf numFmtId="0" fontId="4" fillId="12" borderId="10" xfId="0" applyFont="1" applyFill="1" applyBorder="1" applyAlignment="1">
      <alignment vertical="center" wrapText="1"/>
    </xf>
    <xf numFmtId="0" fontId="0" fillId="12" borderId="10" xfId="0" applyFill="1" applyBorder="1" applyAlignment="1">
      <alignment vertical="center" wrapText="1"/>
    </xf>
    <xf numFmtId="0" fontId="12" fillId="12" borderId="10" xfId="0" applyFont="1" applyFill="1" applyBorder="1" applyAlignment="1">
      <alignment horizontal="right" vertical="center" wrapText="1"/>
    </xf>
    <xf numFmtId="0" fontId="12" fillId="12" borderId="10" xfId="0" applyFont="1" applyFill="1" applyBorder="1" applyAlignment="1">
      <alignment vertical="center" wrapText="1"/>
    </xf>
    <xf numFmtId="0" fontId="0" fillId="13" borderId="0" xfId="0" applyFill="1"/>
    <xf numFmtId="0" fontId="13" fillId="0" borderId="0" xfId="0" applyFont="1"/>
    <xf numFmtId="14" fontId="0" fillId="0" borderId="0" xfId="0" applyNumberFormat="1"/>
    <xf numFmtId="0" fontId="14" fillId="14" borderId="0" xfId="0" applyFont="1" applyFill="1"/>
    <xf numFmtId="0" fontId="15" fillId="14" borderId="0" xfId="0" applyFont="1" applyFill="1"/>
    <xf numFmtId="16" fontId="16" fillId="0" borderId="0" xfId="0" applyNumberFormat="1" applyFont="1" applyAlignment="1">
      <alignment textRotation="90"/>
    </xf>
    <xf numFmtId="0" fontId="17" fillId="0" borderId="0" xfId="0" applyFont="1"/>
    <xf numFmtId="0" fontId="0" fillId="0" borderId="10" xfId="0" applyBorder="1" applyAlignment="1">
      <alignment vertical="top" wrapText="1"/>
    </xf>
    <xf numFmtId="0" fontId="0" fillId="5" borderId="12" xfId="0" applyFill="1" applyBorder="1"/>
    <xf numFmtId="0" fontId="0" fillId="0" borderId="12" xfId="0" applyBorder="1"/>
    <xf numFmtId="0" fontId="0" fillId="10" borderId="12" xfId="0" applyFill="1" applyBorder="1"/>
    <xf numFmtId="16" fontId="1" fillId="0" borderId="12" xfId="0" applyNumberFormat="1" applyFont="1" applyBorder="1" applyAlignment="1">
      <alignment horizontal="left"/>
    </xf>
    <xf numFmtId="0" fontId="1" fillId="4" borderId="12" xfId="0" applyFont="1" applyFill="1" applyBorder="1" applyAlignment="1">
      <alignment horizontal="left"/>
    </xf>
    <xf numFmtId="0" fontId="1" fillId="5" borderId="12" xfId="0" applyFont="1" applyFill="1" applyBorder="1"/>
    <xf numFmtId="0" fontId="1" fillId="0" borderId="12" xfId="0" applyFont="1" applyBorder="1"/>
    <xf numFmtId="0" fontId="0" fillId="0" borderId="12" xfId="0" applyBorder="1" applyAlignment="1">
      <alignment vertical="center" wrapText="1"/>
    </xf>
    <xf numFmtId="0" fontId="1" fillId="10" borderId="12" xfId="0" applyFont="1" applyFill="1" applyBorder="1"/>
    <xf numFmtId="0" fontId="2" fillId="3" borderId="9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0" fillId="0" borderId="13" xfId="0" applyBorder="1" applyAlignment="1">
      <alignment vertical="center" wrapText="1"/>
    </xf>
    <xf numFmtId="0" fontId="0" fillId="0" borderId="14" xfId="0" applyBorder="1" applyAlignment="1">
      <alignment vertical="center" wrapText="1"/>
    </xf>
    <xf numFmtId="0" fontId="0" fillId="0" borderId="15" xfId="0" applyBorder="1" applyAlignment="1">
      <alignment vertical="center" wrapText="1"/>
    </xf>
    <xf numFmtId="0" fontId="1" fillId="4" borderId="16" xfId="0" applyFont="1" applyFill="1" applyBorder="1" applyAlignment="1">
      <alignment horizontal="left"/>
    </xf>
    <xf numFmtId="9" fontId="1" fillId="15" borderId="16" xfId="0" applyNumberFormat="1" applyFont="1" applyFill="1" applyBorder="1" applyAlignment="1">
      <alignment horizontal="center"/>
    </xf>
    <xf numFmtId="9" fontId="1" fillId="0" borderId="16" xfId="0" applyNumberFormat="1" applyFont="1" applyBorder="1" applyAlignment="1">
      <alignment horizontal="center"/>
    </xf>
    <xf numFmtId="0" fontId="18" fillId="12" borderId="12" xfId="0" applyFont="1" applyFill="1" applyBorder="1" applyAlignment="1">
      <alignment vertical="center" wrapText="1"/>
    </xf>
    <xf numFmtId="16" fontId="18" fillId="12" borderId="12" xfId="0" applyNumberFormat="1" applyFont="1" applyFill="1" applyBorder="1" applyAlignment="1">
      <alignment horizontal="left"/>
    </xf>
    <xf numFmtId="0" fontId="18" fillId="12" borderId="12" xfId="0" applyFont="1" applyFill="1" applyBorder="1" applyAlignment="1">
      <alignment horizontal="left"/>
    </xf>
    <xf numFmtId="9" fontId="19" fillId="0" borderId="16" xfId="0" applyNumberFormat="1" applyFont="1" applyBorder="1" applyAlignment="1">
      <alignment horizontal="center"/>
    </xf>
    <xf numFmtId="0" fontId="19" fillId="0" borderId="12" xfId="0" applyFont="1" applyBorder="1"/>
    <xf numFmtId="0" fontId="20" fillId="0" borderId="12" xfId="0" applyFont="1" applyBorder="1"/>
    <xf numFmtId="0" fontId="20" fillId="0" borderId="0" xfId="0" applyFont="1"/>
    <xf numFmtId="0" fontId="21" fillId="15" borderId="12" xfId="0" applyFont="1" applyFill="1" applyBorder="1" applyAlignment="1">
      <alignment vertical="center" wrapText="1"/>
    </xf>
    <xf numFmtId="16" fontId="21" fillId="15" borderId="12" xfId="0" applyNumberFormat="1" applyFont="1" applyFill="1" applyBorder="1" applyAlignment="1">
      <alignment horizontal="left"/>
    </xf>
    <xf numFmtId="0" fontId="22" fillId="15" borderId="12" xfId="0" applyFont="1" applyFill="1" applyBorder="1" applyAlignment="1">
      <alignment horizontal="left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2" borderId="9" xfId="0" applyFont="1" applyFill="1" applyBorder="1" applyAlignment="1">
      <alignment vertical="center"/>
    </xf>
    <xf numFmtId="0" fontId="21" fillId="15" borderId="12" xfId="0" applyFont="1" applyFill="1" applyBorder="1" applyAlignment="1">
      <alignment vertical="center"/>
    </xf>
    <xf numFmtId="0" fontId="0" fillId="0" borderId="12" xfId="0" applyBorder="1" applyAlignment="1">
      <alignment vertical="center"/>
    </xf>
    <xf numFmtId="0" fontId="7" fillId="0" borderId="12" xfId="0" applyFont="1" applyBorder="1" applyAlignment="1">
      <alignment vertical="center"/>
    </xf>
    <xf numFmtId="0" fontId="1" fillId="10" borderId="16" xfId="0" applyFont="1" applyFill="1" applyBorder="1"/>
    <xf numFmtId="0" fontId="0" fillId="0" borderId="16" xfId="0" applyBorder="1"/>
    <xf numFmtId="0" fontId="20" fillId="0" borderId="16" xfId="0" applyFont="1" applyBorder="1"/>
    <xf numFmtId="0" fontId="7" fillId="0" borderId="15" xfId="0" applyFont="1" applyBorder="1" applyAlignment="1">
      <alignment vertical="center" wrapText="1"/>
    </xf>
    <xf numFmtId="0" fontId="1" fillId="4" borderId="17" xfId="0" applyFont="1" applyFill="1" applyBorder="1" applyAlignment="1">
      <alignment horizontal="left"/>
    </xf>
    <xf numFmtId="0" fontId="0" fillId="0" borderId="18" xfId="0" applyBorder="1" applyAlignment="1">
      <alignment vertical="center" wrapText="1"/>
    </xf>
    <xf numFmtId="0" fontId="0" fillId="0" borderId="19" xfId="0" applyBorder="1" applyAlignment="1">
      <alignment vertical="center" wrapText="1"/>
    </xf>
    <xf numFmtId="16" fontId="1" fillId="0" borderId="20" xfId="0" applyNumberFormat="1" applyFont="1" applyBorder="1" applyAlignment="1">
      <alignment horizontal="left"/>
    </xf>
    <xf numFmtId="16" fontId="0" fillId="0" borderId="12" xfId="0" applyNumberFormat="1" applyBorder="1" applyAlignment="1">
      <alignment horizontal="left"/>
    </xf>
    <xf numFmtId="9" fontId="1" fillId="9" borderId="16" xfId="0" applyNumberFormat="1" applyFont="1" applyFill="1" applyBorder="1" applyAlignment="1">
      <alignment horizontal="center"/>
    </xf>
    <xf numFmtId="0" fontId="0" fillId="10" borderId="12" xfId="0" applyFill="1" applyBorder="1" applyAlignment="1">
      <alignment vertical="center" wrapText="1"/>
    </xf>
    <xf numFmtId="0" fontId="0" fillId="10" borderId="15" xfId="0" applyFill="1" applyBorder="1" applyAlignment="1">
      <alignment vertical="center" wrapText="1"/>
    </xf>
    <xf numFmtId="0" fontId="7" fillId="10" borderId="12" xfId="0" applyFont="1" applyFill="1" applyBorder="1" applyAlignment="1">
      <alignment vertical="center" wrapText="1"/>
    </xf>
    <xf numFmtId="0" fontId="23" fillId="6" borderId="1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46</xdr:col>
      <xdr:colOff>119358</xdr:colOff>
      <xdr:row>9</xdr:row>
      <xdr:rowOff>25617</xdr:rowOff>
    </xdr:from>
    <xdr:to>
      <xdr:col>46</xdr:col>
      <xdr:colOff>123047</xdr:colOff>
      <xdr:row>30</xdr:row>
      <xdr:rowOff>168685</xdr:rowOff>
    </xdr:to>
    <xdr:cxnSp macro="">
      <xdr:nvCxnSpPr>
        <xdr:cNvPr id="2" name="Straight Connector 2">
          <a:extLst>
            <a:ext uri="{FF2B5EF4-FFF2-40B4-BE49-F238E27FC236}">
              <a16:creationId xmlns:a16="http://schemas.microsoft.com/office/drawing/2014/main" id="{F135D62C-AD37-422A-91DB-52285CB8D9D7}"/>
            </a:ext>
          </a:extLst>
        </xdr:cNvPr>
        <xdr:cNvCxnSpPr/>
      </xdr:nvCxnSpPr>
      <xdr:spPr>
        <a:xfrm>
          <a:off x="20579058" y="1978242"/>
          <a:ext cx="3689" cy="4048318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3524250</xdr:colOff>
      <xdr:row>0</xdr:row>
      <xdr:rowOff>-123825</xdr:rowOff>
    </xdr:from>
    <xdr:to>
      <xdr:col>1</xdr:col>
      <xdr:colOff>3524250</xdr:colOff>
      <xdr:row>0</xdr:row>
      <xdr:rowOff>-123825</xdr:rowOff>
    </xdr:to>
    <xdr:cxnSp macro="">
      <xdr:nvCxnSpPr>
        <xdr:cNvPr id="2" name="Straight Connector 2">
          <a:extLst>
            <a:ext uri="{FF2B5EF4-FFF2-40B4-BE49-F238E27FC236}">
              <a16:creationId xmlns:a16="http://schemas.microsoft.com/office/drawing/2014/main" id="{B0C7AAD0-B424-4C56-B81A-38075D2C9AE2}"/>
            </a:ext>
          </a:extLst>
        </xdr:cNvPr>
        <xdr:cNvCxnSpPr>
          <a:cxnSpLocks/>
        </xdr:cNvCxnSpPr>
      </xdr:nvCxnSpPr>
      <xdr:spPr>
        <a:xfrm>
          <a:off x="3810000" y="-123825"/>
          <a:ext cx="0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238125</xdr:colOff>
      <xdr:row>64</xdr:row>
      <xdr:rowOff>114300</xdr:rowOff>
    </xdr:from>
    <xdr:to>
      <xdr:col>3</xdr:col>
      <xdr:colOff>38100</xdr:colOff>
      <xdr:row>86</xdr:row>
      <xdr:rowOff>66675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AC3A41C-27D2-2DB4-DFE4-EF184C2807FB}"/>
            </a:ext>
            <a:ext uri="{147F2762-F138-4A5C-976F-8EAC2B608ADB}">
              <a16:predDERef xmlns:a16="http://schemas.microsoft.com/office/drawing/2014/main" pred="{B0C7AAD0-B424-4C56-B81A-38075D2C9A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8125" y="12487275"/>
          <a:ext cx="7381875" cy="41433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3524250</xdr:colOff>
      <xdr:row>0</xdr:row>
      <xdr:rowOff>-123825</xdr:rowOff>
    </xdr:from>
    <xdr:to>
      <xdr:col>1</xdr:col>
      <xdr:colOff>3524250</xdr:colOff>
      <xdr:row>0</xdr:row>
      <xdr:rowOff>-123825</xdr:rowOff>
    </xdr:to>
    <xdr:cxnSp macro="">
      <xdr:nvCxnSpPr>
        <xdr:cNvPr id="2" name="Straight Connector 2">
          <a:extLst>
            <a:ext uri="{FF2B5EF4-FFF2-40B4-BE49-F238E27FC236}">
              <a16:creationId xmlns:a16="http://schemas.microsoft.com/office/drawing/2014/main" id="{6253C341-F62D-A542-8C70-03257F19A52E}"/>
            </a:ext>
          </a:extLst>
        </xdr:cNvPr>
        <xdr:cNvCxnSpPr>
          <a:cxnSpLocks/>
        </xdr:cNvCxnSpPr>
      </xdr:nvCxnSpPr>
      <xdr:spPr>
        <a:xfrm>
          <a:off x="3810000" y="-123825"/>
          <a:ext cx="0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A07F7-28B7-418B-808F-BAC48CB430C7}">
  <dimension ref="A1:DH30"/>
  <sheetViews>
    <sheetView zoomScale="65" zoomScaleNormal="85" workbookViewId="0"/>
  </sheetViews>
  <sheetFormatPr defaultColWidth="4.28515625" defaultRowHeight="15"/>
  <cols>
    <col min="2" max="2" width="88.42578125" customWidth="1"/>
    <col min="3" max="4" width="9.28515625" customWidth="1"/>
    <col min="5" max="5" width="17.85546875" customWidth="1"/>
    <col min="6" max="6" width="5.85546875" customWidth="1"/>
    <col min="7" max="7" width="17.7109375" customWidth="1"/>
    <col min="8" max="8" width="3.85546875" customWidth="1"/>
    <col min="9" max="11" width="4.28515625" bestFit="1" customWidth="1"/>
    <col min="12" max="12" width="3.42578125" customWidth="1"/>
    <col min="13" max="13" width="3.42578125" hidden="1" customWidth="1"/>
    <col min="14" max="14" width="3.7109375" customWidth="1"/>
    <col min="15" max="15" width="3.42578125" customWidth="1"/>
    <col min="16" max="16" width="4.28515625" customWidth="1"/>
    <col min="17" max="17" width="4.28515625" bestFit="1" customWidth="1"/>
    <col min="18" max="18" width="4" customWidth="1"/>
    <col min="19" max="22" width="4.28515625" bestFit="1" customWidth="1"/>
    <col min="23" max="24" width="3.42578125" customWidth="1"/>
    <col min="25" max="25" width="3.85546875" customWidth="1"/>
    <col min="26" max="26" width="3.42578125" customWidth="1"/>
    <col min="27" max="27" width="3.7109375" customWidth="1"/>
    <col min="28" max="28" width="3.42578125" customWidth="1"/>
    <col min="29" max="32" width="4.28515625" bestFit="1" customWidth="1"/>
    <col min="33" max="33" width="3.42578125" customWidth="1"/>
    <col min="34" max="37" width="4.28515625" bestFit="1" customWidth="1"/>
    <col min="38" max="38" width="4.140625" customWidth="1"/>
    <col min="39" max="42" width="4.28515625" bestFit="1" customWidth="1"/>
    <col min="43" max="43" width="3.85546875" customWidth="1"/>
    <col min="44" max="47" width="4.28515625" bestFit="1" customWidth="1"/>
    <col min="48" max="48" width="2.85546875" customWidth="1"/>
    <col min="49" max="52" width="4.28515625" bestFit="1" customWidth="1"/>
    <col min="53" max="53" width="3.28515625" customWidth="1"/>
    <col min="54" max="57" width="4.28515625" bestFit="1" customWidth="1"/>
    <col min="58" max="58" width="3.140625" customWidth="1"/>
    <col min="59" max="59" width="3.42578125" customWidth="1"/>
    <col min="60" max="62" width="4.28515625" bestFit="1" customWidth="1"/>
    <col min="63" max="63" width="3.28515625" customWidth="1"/>
    <col min="64" max="68" width="4.28515625" bestFit="1" customWidth="1"/>
    <col min="69" max="69" width="3.7109375" customWidth="1"/>
    <col min="70" max="75" width="4.28515625" bestFit="1" customWidth="1"/>
    <col min="76" max="76" width="3.85546875" customWidth="1"/>
    <col min="77" max="82" width="4.28515625" bestFit="1" customWidth="1"/>
    <col min="83" max="111" width="9.140625"/>
    <col min="112" max="112" width="3" customWidth="1"/>
  </cols>
  <sheetData>
    <row r="1" spans="1:112">
      <c r="A1" s="1"/>
      <c r="B1" s="17"/>
      <c r="C1" s="2"/>
      <c r="D1" s="1"/>
      <c r="E1" s="17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</row>
    <row r="2" spans="1:112" ht="15.95">
      <c r="B2" s="23" t="s">
        <v>0</v>
      </c>
    </row>
    <row r="3" spans="1:112">
      <c r="B3" t="s">
        <v>1</v>
      </c>
    </row>
    <row r="4" spans="1:112">
      <c r="A4" s="1"/>
      <c r="B4" s="1"/>
      <c r="C4" s="1"/>
      <c r="D4" s="17" t="s">
        <v>2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</row>
    <row r="5" spans="1:112">
      <c r="A5" s="1"/>
      <c r="C5" s="1"/>
      <c r="D5" s="21"/>
      <c r="E5" s="17" t="s">
        <v>3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</row>
    <row r="6" spans="1:112">
      <c r="B6" s="18"/>
      <c r="D6" s="48"/>
      <c r="E6" s="17" t="s">
        <v>4</v>
      </c>
      <c r="CG6" s="1"/>
      <c r="CH6" s="1"/>
      <c r="CI6" s="1"/>
      <c r="CJ6" s="1"/>
      <c r="CK6" s="1"/>
      <c r="CL6" s="1"/>
      <c r="CM6" s="1"/>
      <c r="CN6" s="1"/>
    </row>
    <row r="7" spans="1:112">
      <c r="B7" s="18"/>
      <c r="D7" s="22"/>
      <c r="E7" s="17" t="s">
        <v>5</v>
      </c>
      <c r="CF7" s="3"/>
      <c r="CG7" s="3"/>
      <c r="CH7" s="3"/>
      <c r="CI7" s="3"/>
      <c r="CJ7" s="3"/>
      <c r="CK7" s="4"/>
      <c r="CL7" s="4"/>
      <c r="CM7" s="4"/>
      <c r="CN7" s="1"/>
    </row>
    <row r="8" spans="1:112">
      <c r="A8" s="1"/>
      <c r="B8" s="18"/>
      <c r="C8" s="1"/>
      <c r="D8" s="49"/>
      <c r="E8" s="17" t="s">
        <v>6</v>
      </c>
      <c r="F8" s="1"/>
      <c r="G8" s="1"/>
      <c r="H8" s="18"/>
      <c r="I8" s="19" t="s">
        <v>7</v>
      </c>
      <c r="J8" s="19"/>
      <c r="K8" s="19"/>
      <c r="L8" s="19"/>
      <c r="M8" s="18"/>
      <c r="N8" s="19" t="s">
        <v>8</v>
      </c>
      <c r="O8" s="19"/>
      <c r="P8" s="19"/>
      <c r="Q8" s="19"/>
      <c r="R8" s="19" t="s">
        <v>9</v>
      </c>
      <c r="S8" s="19"/>
      <c r="T8" s="19"/>
      <c r="U8" s="19"/>
      <c r="V8" s="19"/>
      <c r="W8" s="19" t="s">
        <v>10</v>
      </c>
      <c r="X8" s="19"/>
      <c r="Y8" s="19"/>
      <c r="Z8" s="19"/>
      <c r="AA8" s="19"/>
      <c r="AB8" s="19" t="s">
        <v>11</v>
      </c>
      <c r="AC8" s="19"/>
      <c r="AD8" s="19"/>
      <c r="AE8" s="19"/>
      <c r="AF8" s="19"/>
      <c r="AG8" s="19" t="s">
        <v>12</v>
      </c>
      <c r="AH8" s="19"/>
      <c r="AI8" s="19"/>
      <c r="AJ8" s="19"/>
      <c r="AK8" s="19"/>
      <c r="AL8" s="19" t="s">
        <v>13</v>
      </c>
      <c r="AM8" s="19"/>
      <c r="AN8" s="19"/>
      <c r="AO8" s="19"/>
      <c r="AP8" s="19"/>
      <c r="AQ8" s="19" t="s">
        <v>14</v>
      </c>
      <c r="AR8" s="19"/>
      <c r="AS8" s="19"/>
      <c r="AT8" s="19"/>
      <c r="AU8" s="19"/>
      <c r="AV8" s="19" t="s">
        <v>15</v>
      </c>
      <c r="AW8" s="19"/>
      <c r="AX8" s="19"/>
      <c r="AY8" s="19"/>
      <c r="AZ8" s="19"/>
      <c r="BA8" s="19" t="s">
        <v>16</v>
      </c>
      <c r="BB8" s="19"/>
      <c r="BC8" s="19"/>
      <c r="BD8" s="19"/>
      <c r="BE8" s="19"/>
      <c r="BF8" s="19" t="s">
        <v>17</v>
      </c>
      <c r="BG8" s="19"/>
      <c r="BH8" s="19"/>
      <c r="BI8" s="19"/>
      <c r="BJ8" s="19"/>
      <c r="BK8" s="19" t="s">
        <v>18</v>
      </c>
      <c r="BL8" s="19"/>
      <c r="BM8" s="19"/>
      <c r="BN8" s="19"/>
      <c r="BO8" s="19"/>
      <c r="BP8" s="17"/>
      <c r="BQ8" s="17" t="s">
        <v>19</v>
      </c>
      <c r="BR8" s="17"/>
      <c r="BS8" s="17"/>
      <c r="BT8" s="17"/>
      <c r="BU8" s="17"/>
      <c r="BV8" s="17"/>
      <c r="BW8" s="17"/>
      <c r="BX8" s="17" t="s">
        <v>20</v>
      </c>
      <c r="BY8" s="17"/>
      <c r="BZ8" s="17"/>
      <c r="CA8" s="17"/>
      <c r="CB8" s="17"/>
      <c r="CC8" s="17"/>
      <c r="CD8" s="17"/>
      <c r="CE8" s="24" t="s">
        <v>21</v>
      </c>
      <c r="CF8" s="1"/>
      <c r="CG8" s="1"/>
      <c r="CH8" s="1"/>
      <c r="CI8" s="1"/>
      <c r="CJ8" s="1"/>
      <c r="CK8" s="1"/>
      <c r="CL8" s="1"/>
      <c r="CM8" s="1"/>
      <c r="CN8" s="1"/>
    </row>
    <row r="9" spans="1:112" ht="41.1">
      <c r="A9" s="1"/>
      <c r="B9" s="1"/>
      <c r="C9" s="1"/>
      <c r="F9" s="1"/>
      <c r="G9" s="1"/>
      <c r="H9" s="3">
        <v>45676</v>
      </c>
      <c r="I9" s="3">
        <v>45677</v>
      </c>
      <c r="J9" s="3">
        <v>45678</v>
      </c>
      <c r="K9" s="3">
        <v>45679</v>
      </c>
      <c r="L9" s="3">
        <v>45680</v>
      </c>
      <c r="M9" s="3">
        <v>45695</v>
      </c>
      <c r="N9" s="3">
        <v>45681</v>
      </c>
      <c r="O9" s="3">
        <v>45682</v>
      </c>
      <c r="P9" s="3">
        <v>45683</v>
      </c>
      <c r="Q9" s="3">
        <v>45684</v>
      </c>
      <c r="R9" s="3">
        <v>45685</v>
      </c>
      <c r="S9" s="3">
        <v>45686</v>
      </c>
      <c r="T9" s="3">
        <v>45687</v>
      </c>
      <c r="U9" s="3">
        <v>45688</v>
      </c>
      <c r="V9" s="3">
        <v>45689</v>
      </c>
      <c r="W9" s="3">
        <v>45690</v>
      </c>
      <c r="X9" s="3">
        <v>45691</v>
      </c>
      <c r="Y9" s="3">
        <v>45692</v>
      </c>
      <c r="Z9" s="3">
        <v>45693</v>
      </c>
      <c r="AA9" s="3">
        <v>45694</v>
      </c>
      <c r="AB9" s="3">
        <v>45695</v>
      </c>
      <c r="AC9" s="3">
        <v>45696</v>
      </c>
      <c r="AD9" s="3">
        <v>45697</v>
      </c>
      <c r="AE9" s="3">
        <v>45698</v>
      </c>
      <c r="AF9" s="3">
        <v>45699</v>
      </c>
      <c r="AG9" s="3">
        <v>45700</v>
      </c>
      <c r="AH9" s="3">
        <v>45701</v>
      </c>
      <c r="AI9" s="3">
        <v>45702</v>
      </c>
      <c r="AJ9" s="3">
        <v>45703</v>
      </c>
      <c r="AK9" s="3">
        <v>45704</v>
      </c>
      <c r="AL9" s="3">
        <v>45705</v>
      </c>
      <c r="AM9" s="3">
        <v>45706</v>
      </c>
      <c r="AN9" s="3">
        <v>45707</v>
      </c>
      <c r="AO9" s="3">
        <v>45708</v>
      </c>
      <c r="AP9" s="3">
        <v>45709</v>
      </c>
      <c r="AQ9" s="3">
        <v>45710</v>
      </c>
      <c r="AR9" s="3">
        <v>45711</v>
      </c>
      <c r="AS9" s="3">
        <v>45712</v>
      </c>
      <c r="AT9" s="3">
        <v>45713</v>
      </c>
      <c r="AU9" s="3">
        <v>45714</v>
      </c>
      <c r="AV9" s="3">
        <v>45715</v>
      </c>
      <c r="AW9" s="3">
        <v>45716</v>
      </c>
      <c r="AX9" s="3">
        <v>45717</v>
      </c>
      <c r="AY9" s="3">
        <v>45718</v>
      </c>
      <c r="AZ9" s="3">
        <v>45719</v>
      </c>
      <c r="BA9" s="3">
        <v>45720</v>
      </c>
      <c r="BB9" s="3">
        <v>45721</v>
      </c>
      <c r="BC9" s="3">
        <v>45722</v>
      </c>
      <c r="BD9" s="3">
        <v>45723</v>
      </c>
      <c r="BE9" s="3">
        <v>45724</v>
      </c>
      <c r="BF9" s="3">
        <v>45725</v>
      </c>
      <c r="BG9" s="3">
        <v>45726</v>
      </c>
      <c r="BH9" s="3">
        <v>45727</v>
      </c>
      <c r="BI9" s="3">
        <v>45728</v>
      </c>
      <c r="BJ9" s="3">
        <v>45729</v>
      </c>
      <c r="BK9" s="3">
        <v>45730</v>
      </c>
      <c r="BL9" s="3">
        <v>45731</v>
      </c>
      <c r="BM9" s="3">
        <v>45732</v>
      </c>
      <c r="BN9" s="3">
        <v>45733</v>
      </c>
      <c r="BO9" s="3">
        <v>45734</v>
      </c>
      <c r="BP9" s="3">
        <v>45735</v>
      </c>
      <c r="BQ9" s="3">
        <v>45736</v>
      </c>
      <c r="BR9" s="3">
        <v>45737</v>
      </c>
      <c r="BS9" s="3">
        <v>45738</v>
      </c>
      <c r="BT9" s="3">
        <v>45739</v>
      </c>
      <c r="BU9" s="3">
        <v>45740</v>
      </c>
      <c r="BV9" s="3">
        <v>45741</v>
      </c>
      <c r="BW9" s="3">
        <v>45742</v>
      </c>
      <c r="BX9" s="3">
        <v>45743</v>
      </c>
      <c r="BY9" s="3">
        <v>45744</v>
      </c>
      <c r="BZ9" s="3">
        <v>45745</v>
      </c>
      <c r="CA9" s="3">
        <v>45746</v>
      </c>
      <c r="CB9" s="3">
        <v>45747</v>
      </c>
      <c r="CC9" s="3">
        <v>45748</v>
      </c>
      <c r="CD9" s="3">
        <v>45749</v>
      </c>
      <c r="CE9" s="3">
        <v>45750</v>
      </c>
      <c r="CF9" s="3">
        <v>45751</v>
      </c>
      <c r="CG9" s="3">
        <v>45752</v>
      </c>
      <c r="CH9" s="3">
        <v>45753</v>
      </c>
      <c r="CI9" s="3">
        <v>45754</v>
      </c>
      <c r="CJ9" s="3">
        <v>45755</v>
      </c>
      <c r="CK9" s="3">
        <v>45756</v>
      </c>
      <c r="CL9" s="3">
        <v>45757</v>
      </c>
      <c r="CM9" s="3">
        <v>45758</v>
      </c>
      <c r="CN9" s="3">
        <v>45759</v>
      </c>
      <c r="CO9" s="3">
        <v>45760</v>
      </c>
      <c r="CP9" s="3">
        <v>45761</v>
      </c>
      <c r="CQ9" s="3">
        <v>45762</v>
      </c>
      <c r="CR9" s="3">
        <v>45763</v>
      </c>
      <c r="CS9" s="3">
        <v>45764</v>
      </c>
      <c r="CT9" s="3">
        <v>45765</v>
      </c>
      <c r="CU9" s="3">
        <v>45766</v>
      </c>
      <c r="CV9" s="3">
        <v>45767</v>
      </c>
      <c r="CW9" s="3">
        <v>45768</v>
      </c>
      <c r="CX9" s="3">
        <v>45769</v>
      </c>
      <c r="CY9" s="3">
        <v>45770</v>
      </c>
      <c r="CZ9" s="3">
        <v>45771</v>
      </c>
      <c r="DA9" s="3">
        <v>45772</v>
      </c>
      <c r="DB9" s="3">
        <v>45773</v>
      </c>
      <c r="DC9" s="3">
        <v>45774</v>
      </c>
      <c r="DD9" s="3">
        <v>45790</v>
      </c>
      <c r="DE9" s="3">
        <v>45775</v>
      </c>
      <c r="DF9" s="3">
        <v>45776</v>
      </c>
      <c r="DG9" s="3">
        <v>45777</v>
      </c>
      <c r="DH9" s="39"/>
    </row>
    <row r="10" spans="1:112">
      <c r="A10" s="5" t="s">
        <v>22</v>
      </c>
      <c r="B10" s="6" t="s">
        <v>23</v>
      </c>
      <c r="C10" s="7" t="s">
        <v>24</v>
      </c>
      <c r="D10" s="6" t="s">
        <v>25</v>
      </c>
      <c r="E10" s="7" t="s">
        <v>26</v>
      </c>
      <c r="F10" s="6" t="s">
        <v>27</v>
      </c>
      <c r="G10" s="7" t="s">
        <v>28</v>
      </c>
      <c r="H10" s="14"/>
      <c r="I10" s="1"/>
      <c r="J10" s="1"/>
      <c r="K10" s="1"/>
      <c r="L10" s="8"/>
      <c r="M10" s="14"/>
      <c r="N10" s="1"/>
      <c r="O10" s="1"/>
      <c r="P10" s="1"/>
      <c r="Q10" s="8"/>
      <c r="R10" s="14"/>
      <c r="S10" s="1"/>
      <c r="T10" s="1"/>
      <c r="U10" s="1"/>
      <c r="V10" s="8"/>
      <c r="W10" s="14"/>
      <c r="X10" s="1"/>
      <c r="Y10" s="1"/>
      <c r="Z10" s="1"/>
      <c r="AA10" s="8"/>
      <c r="AB10" s="25"/>
      <c r="AC10" s="1"/>
      <c r="AD10" s="1"/>
      <c r="AE10" s="1"/>
      <c r="AF10" s="8"/>
      <c r="AG10" s="14"/>
      <c r="AH10" s="1"/>
      <c r="AI10" s="1"/>
      <c r="AJ10" s="1"/>
      <c r="AK10" s="8"/>
      <c r="AL10" s="14"/>
      <c r="AM10" s="1"/>
      <c r="AN10" s="1"/>
      <c r="AO10" s="1"/>
      <c r="AP10" s="8"/>
      <c r="AQ10" s="14"/>
      <c r="AR10" s="1"/>
      <c r="AS10" s="1"/>
      <c r="AT10" s="1"/>
      <c r="AU10" s="8"/>
      <c r="AV10" s="14"/>
      <c r="AW10" s="1"/>
      <c r="AX10" s="1"/>
      <c r="AY10" s="1"/>
      <c r="AZ10" s="8"/>
      <c r="BA10" s="14"/>
      <c r="BB10" s="1"/>
      <c r="BC10" s="1"/>
      <c r="BD10" s="1"/>
      <c r="BE10" s="8"/>
      <c r="BF10" s="14"/>
      <c r="BG10" s="1"/>
      <c r="BH10" s="1"/>
      <c r="BI10" s="1"/>
      <c r="BJ10" s="8"/>
      <c r="BK10" s="14"/>
      <c r="BL10" s="1"/>
      <c r="BM10" s="1"/>
      <c r="BN10" s="1"/>
      <c r="BO10" s="8"/>
      <c r="BP10" s="14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</row>
    <row r="11" spans="1:112" ht="15.95">
      <c r="A11" s="33" t="s">
        <v>29</v>
      </c>
      <c r="B11" s="31" t="s">
        <v>30</v>
      </c>
      <c r="C11" s="10">
        <v>45205</v>
      </c>
      <c r="D11" s="10">
        <v>45205</v>
      </c>
      <c r="E11" s="13"/>
      <c r="F11" s="11">
        <v>1</v>
      </c>
      <c r="G11" s="12">
        <v>0</v>
      </c>
      <c r="H11" s="50"/>
      <c r="I11" s="51"/>
      <c r="J11" s="51"/>
      <c r="K11" s="51"/>
      <c r="L11" s="51"/>
      <c r="M11" s="51"/>
      <c r="N11" s="51"/>
      <c r="O11" s="51"/>
      <c r="P11" s="51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5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</row>
    <row r="12" spans="1:112" ht="15.95">
      <c r="A12" s="33">
        <v>1</v>
      </c>
      <c r="B12" s="31" t="s">
        <v>31</v>
      </c>
      <c r="C12" s="10">
        <v>45676</v>
      </c>
      <c r="D12" s="10">
        <v>44952</v>
      </c>
      <c r="E12" s="13"/>
      <c r="F12" s="11">
        <v>18</v>
      </c>
      <c r="G12" s="12">
        <v>0</v>
      </c>
      <c r="H12" s="41"/>
      <c r="I12" s="41"/>
      <c r="J12" s="41"/>
      <c r="K12" s="41"/>
      <c r="L12" s="41"/>
      <c r="M12" s="41"/>
      <c r="N12" s="41"/>
      <c r="O12" s="41"/>
      <c r="P12" s="42"/>
      <c r="Q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/>
      <c r="AO12" s="40"/>
      <c r="AP12" s="40"/>
      <c r="AQ12" s="40"/>
      <c r="AR12" s="40"/>
      <c r="AS12" s="40"/>
      <c r="AT12" s="40"/>
      <c r="AU12" s="37"/>
      <c r="AV12" s="37"/>
      <c r="AW12" s="37"/>
      <c r="AX12" s="37"/>
      <c r="AY12" s="37"/>
      <c r="AZ12" s="37"/>
      <c r="BA12" s="37"/>
      <c r="BB12" s="37"/>
      <c r="BC12" s="37"/>
      <c r="BD12" s="37"/>
      <c r="BE12" s="37"/>
      <c r="BF12" s="37"/>
      <c r="BG12" s="37"/>
      <c r="BH12" s="37"/>
      <c r="BI12" s="37"/>
      <c r="BJ12" s="37"/>
      <c r="BK12" s="37"/>
      <c r="BL12" s="37"/>
      <c r="BM12" s="37"/>
      <c r="BN12" s="37"/>
      <c r="BO12" s="37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</row>
    <row r="13" spans="1:112" ht="15.95">
      <c r="A13" s="9">
        <v>1.1000000000000001</v>
      </c>
      <c r="B13" s="26" t="s">
        <v>32</v>
      </c>
      <c r="C13" s="10">
        <v>44945</v>
      </c>
      <c r="D13" s="10">
        <v>44951</v>
      </c>
      <c r="E13" s="13"/>
      <c r="F13" s="11">
        <v>7</v>
      </c>
      <c r="G13" s="12">
        <v>0</v>
      </c>
      <c r="H13" s="43"/>
      <c r="I13" s="44"/>
      <c r="J13" s="44"/>
      <c r="K13" s="44"/>
      <c r="L13" s="44"/>
      <c r="M13" s="44"/>
      <c r="N13" s="44"/>
      <c r="O13" s="44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8"/>
      <c r="AC13" s="37"/>
      <c r="AD13" s="37"/>
      <c r="AE13" s="37"/>
      <c r="AF13" s="37"/>
      <c r="AG13" s="37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37"/>
      <c r="AS13" s="37"/>
      <c r="AT13" s="37"/>
      <c r="AU13" s="37"/>
      <c r="AV13" s="37"/>
      <c r="AW13" s="37"/>
      <c r="AX13" s="37"/>
      <c r="AY13" s="37"/>
      <c r="AZ13" s="37"/>
      <c r="BA13" s="37"/>
      <c r="BB13" s="37"/>
      <c r="BC13" s="37"/>
      <c r="BD13" s="37"/>
      <c r="BE13" s="37"/>
      <c r="BF13" s="37"/>
      <c r="BG13" s="37"/>
      <c r="BH13" s="37"/>
      <c r="BI13" s="37"/>
      <c r="BJ13" s="37"/>
      <c r="BK13" s="37"/>
      <c r="BL13" s="37"/>
      <c r="BM13" s="37"/>
      <c r="BN13" s="37"/>
      <c r="BO13" s="37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</row>
    <row r="14" spans="1:112" ht="15.95">
      <c r="A14" s="9">
        <v>1.2</v>
      </c>
      <c r="B14" s="26" t="s">
        <v>33</v>
      </c>
      <c r="C14" s="10">
        <v>44947</v>
      </c>
      <c r="D14" s="10">
        <v>44951</v>
      </c>
      <c r="E14" s="13"/>
      <c r="F14" s="11">
        <v>5</v>
      </c>
      <c r="G14" s="12">
        <v>0</v>
      </c>
      <c r="H14" s="36"/>
      <c r="I14" s="37"/>
      <c r="K14" s="44"/>
      <c r="L14" s="44"/>
      <c r="M14" s="44"/>
      <c r="N14" s="44"/>
      <c r="O14" s="45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8"/>
      <c r="AC14" s="37"/>
      <c r="AD14" s="37"/>
      <c r="AE14" s="37"/>
      <c r="AF14" s="37"/>
      <c r="AG14" s="37"/>
      <c r="AH14" s="37"/>
      <c r="AI14" s="37"/>
      <c r="AJ14" s="37"/>
      <c r="AK14" s="37"/>
      <c r="AL14" s="37"/>
      <c r="AM14" s="37"/>
      <c r="AN14" s="37"/>
      <c r="AO14" s="37"/>
      <c r="AP14" s="37"/>
      <c r="AQ14" s="37"/>
      <c r="AR14" s="37"/>
      <c r="AS14" s="37"/>
      <c r="AT14" s="37"/>
      <c r="AU14" s="37"/>
      <c r="AV14" s="37"/>
      <c r="AW14" s="37"/>
      <c r="AX14" s="37"/>
      <c r="AY14" s="37"/>
      <c r="AZ14" s="37"/>
      <c r="BA14" s="37"/>
      <c r="BB14" s="37"/>
      <c r="BC14" s="37"/>
      <c r="BD14" s="37"/>
      <c r="BE14" s="37"/>
      <c r="BF14" s="37"/>
      <c r="BG14" s="37"/>
      <c r="BH14" s="37"/>
      <c r="BI14" s="37"/>
      <c r="BJ14" s="37"/>
      <c r="BK14" s="37"/>
      <c r="BL14" s="37"/>
      <c r="BM14" s="37"/>
      <c r="BN14" s="37"/>
      <c r="BO14" s="37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</row>
    <row r="15" spans="1:112" ht="15.95">
      <c r="A15" s="9">
        <v>1.3</v>
      </c>
      <c r="B15" s="26" t="s">
        <v>34</v>
      </c>
      <c r="C15" s="10">
        <v>44952</v>
      </c>
      <c r="D15" s="10">
        <v>44952</v>
      </c>
      <c r="E15" s="13"/>
      <c r="F15" s="11">
        <v>1</v>
      </c>
      <c r="G15" s="12">
        <v>0</v>
      </c>
      <c r="H15" s="36"/>
      <c r="I15" s="37"/>
      <c r="J15" s="37"/>
      <c r="K15" s="37"/>
      <c r="L15" s="37"/>
      <c r="M15" s="37"/>
      <c r="N15" s="37"/>
      <c r="O15" s="37"/>
      <c r="P15" s="22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8"/>
      <c r="AC15" s="37"/>
      <c r="AD15" s="37"/>
      <c r="AE15" s="37"/>
      <c r="AF15" s="37"/>
      <c r="AG15" s="37"/>
      <c r="AH15" s="37"/>
      <c r="AI15" s="37"/>
      <c r="AJ15" s="37"/>
      <c r="AK15" s="37"/>
      <c r="AL15" s="37"/>
      <c r="AM15" s="37"/>
      <c r="AN15" s="37"/>
      <c r="AO15" s="37"/>
      <c r="AP15" s="37"/>
      <c r="AQ15" s="37"/>
      <c r="AR15" s="37"/>
      <c r="AS15" s="37"/>
      <c r="AT15" s="37"/>
      <c r="AU15" s="37"/>
      <c r="AV15" s="37"/>
      <c r="AW15" s="37"/>
      <c r="AX15" s="37"/>
      <c r="AY15" s="37"/>
      <c r="AZ15" s="37"/>
      <c r="BA15" s="37"/>
      <c r="BB15" s="37"/>
      <c r="BC15" s="37"/>
      <c r="BD15" s="37"/>
      <c r="BE15" s="37"/>
      <c r="BF15" s="37"/>
      <c r="BG15" s="37"/>
      <c r="BH15" s="37"/>
      <c r="BI15" s="37"/>
      <c r="BJ15" s="37"/>
      <c r="BK15" s="37"/>
      <c r="BL15" s="37"/>
      <c r="BM15" s="37"/>
      <c r="BN15" s="37"/>
      <c r="BO15" s="37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</row>
    <row r="16" spans="1:112" ht="15.95">
      <c r="A16" s="33">
        <v>2</v>
      </c>
      <c r="B16" s="31" t="s">
        <v>35</v>
      </c>
      <c r="C16" s="10">
        <v>44963</v>
      </c>
      <c r="D16" s="10">
        <v>44997</v>
      </c>
      <c r="E16" s="13"/>
      <c r="F16" s="11">
        <v>35</v>
      </c>
      <c r="G16" s="12">
        <v>0</v>
      </c>
      <c r="H16" s="36"/>
      <c r="I16" s="37"/>
      <c r="J16" s="37"/>
      <c r="K16" s="37"/>
      <c r="L16" s="37"/>
      <c r="M16" s="37"/>
      <c r="N16" s="37" t="s">
        <v>36</v>
      </c>
      <c r="O16" s="37"/>
      <c r="P16" s="37"/>
      <c r="Q16" s="47"/>
      <c r="R16" s="47"/>
      <c r="S16" s="47"/>
      <c r="T16" s="47"/>
      <c r="U16" s="47"/>
      <c r="V16" s="47"/>
      <c r="W16" s="47"/>
      <c r="X16" s="47"/>
      <c r="Y16" s="47"/>
      <c r="Z16" s="47"/>
      <c r="AA16" s="47"/>
      <c r="AB16" s="47"/>
      <c r="AC16" s="47"/>
      <c r="AD16" s="47"/>
      <c r="AE16" s="47"/>
      <c r="AF16" s="47"/>
      <c r="AG16" s="47"/>
      <c r="AH16" s="37"/>
      <c r="AI16" s="37"/>
      <c r="AJ16" s="37"/>
      <c r="AK16" s="37"/>
      <c r="AL16" s="37"/>
      <c r="AM16" s="37"/>
      <c r="AN16" s="37"/>
      <c r="AO16" s="37"/>
      <c r="AP16" s="37"/>
      <c r="AQ16" s="37"/>
      <c r="AR16" s="37"/>
      <c r="AS16" s="37"/>
      <c r="AT16" s="37"/>
      <c r="AU16" s="38"/>
      <c r="AV16" s="38"/>
      <c r="AW16" s="38"/>
      <c r="AX16" s="38"/>
      <c r="AY16" s="37"/>
      <c r="AZ16" s="37"/>
      <c r="BA16" s="37"/>
      <c r="BB16" s="37"/>
      <c r="BC16" s="37"/>
      <c r="BD16" s="37"/>
      <c r="BE16" s="37"/>
      <c r="BF16" s="37"/>
      <c r="BG16" s="37"/>
      <c r="BH16" s="37"/>
      <c r="BI16" s="37"/>
      <c r="BJ16" s="37"/>
      <c r="BK16" s="37"/>
      <c r="BL16" s="37"/>
      <c r="BM16" s="37"/>
      <c r="BN16" s="37"/>
      <c r="BO16" s="37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</row>
    <row r="17" spans="1:111" ht="15.95">
      <c r="A17" s="9">
        <v>2.1</v>
      </c>
      <c r="B17" s="26" t="s">
        <v>37</v>
      </c>
      <c r="C17" s="10">
        <v>44965</v>
      </c>
      <c r="D17" s="10">
        <v>44971</v>
      </c>
      <c r="E17" s="13"/>
      <c r="F17" s="11">
        <v>7</v>
      </c>
      <c r="G17" s="12">
        <v>0</v>
      </c>
      <c r="H17" s="36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47"/>
      <c r="AD17" s="47"/>
      <c r="AE17" s="47"/>
      <c r="AF17" s="47"/>
      <c r="AG17" s="47"/>
      <c r="AH17" s="47"/>
      <c r="AI17" s="47"/>
      <c r="AJ17" s="37"/>
      <c r="AK17" s="37"/>
      <c r="AL17" s="37"/>
      <c r="AM17" s="37"/>
      <c r="AN17" s="37"/>
      <c r="AO17" s="37"/>
      <c r="AP17" s="37"/>
      <c r="AQ17" s="37"/>
      <c r="AR17" s="37"/>
      <c r="AS17" s="37"/>
      <c r="AT17" s="37"/>
      <c r="AU17" s="37"/>
      <c r="AV17" s="37"/>
      <c r="AW17" s="37"/>
      <c r="AX17" s="37"/>
      <c r="AY17" s="37"/>
      <c r="AZ17" s="37"/>
      <c r="BA17" s="37"/>
      <c r="BB17" s="37"/>
      <c r="BC17" s="37"/>
      <c r="BD17" s="37"/>
      <c r="BE17" s="37"/>
      <c r="BF17" s="37"/>
      <c r="BG17" s="37"/>
      <c r="BH17" s="37"/>
      <c r="BI17" s="37"/>
      <c r="BJ17" s="37"/>
      <c r="BK17" s="37"/>
      <c r="BL17" s="37"/>
      <c r="BM17" s="37"/>
      <c r="BN17" s="37"/>
      <c r="BO17" s="37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</row>
    <row r="18" spans="1:111" ht="15.95">
      <c r="A18" s="9">
        <v>2.2000000000000002</v>
      </c>
      <c r="B18" s="26" t="s">
        <v>38</v>
      </c>
      <c r="C18" s="10">
        <v>44972</v>
      </c>
      <c r="D18" s="10">
        <v>44975</v>
      </c>
      <c r="E18" s="13"/>
      <c r="F18" s="11">
        <v>4</v>
      </c>
      <c r="G18" s="12">
        <v>0</v>
      </c>
      <c r="H18" s="36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37"/>
      <c r="AI18" s="37"/>
      <c r="AJ18" s="47"/>
      <c r="AK18" s="47"/>
      <c r="AL18" s="47"/>
      <c r="AM18" s="47"/>
      <c r="AN18" s="37"/>
      <c r="AO18" s="37"/>
      <c r="AP18" s="37"/>
      <c r="AQ18" s="37"/>
      <c r="AR18" s="37"/>
      <c r="AS18" s="37"/>
      <c r="AT18" s="37"/>
      <c r="AU18" s="37"/>
      <c r="AV18" s="37"/>
      <c r="AW18" s="37"/>
      <c r="AX18" s="37"/>
      <c r="AY18" s="37"/>
      <c r="AZ18" s="37"/>
      <c r="BA18" s="37"/>
      <c r="BB18" s="37"/>
      <c r="BC18" s="37"/>
      <c r="BD18" s="37"/>
      <c r="BE18" s="37"/>
      <c r="BF18" s="37"/>
      <c r="BG18" s="37"/>
      <c r="BH18" s="37"/>
      <c r="BI18" s="37"/>
      <c r="BJ18" s="37"/>
      <c r="BK18" s="37"/>
      <c r="BL18" s="37"/>
      <c r="BM18" s="37"/>
      <c r="BN18" s="37"/>
      <c r="BO18" s="37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</row>
    <row r="19" spans="1:111" ht="15.95">
      <c r="A19" s="9">
        <v>2.2999999999999998</v>
      </c>
      <c r="B19" s="26" t="s">
        <v>39</v>
      </c>
      <c r="C19" s="10">
        <v>44976</v>
      </c>
      <c r="D19" s="10">
        <v>44981</v>
      </c>
      <c r="E19" s="13"/>
      <c r="F19" s="11">
        <v>6</v>
      </c>
      <c r="G19" s="12">
        <v>0</v>
      </c>
      <c r="H19" s="36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46"/>
      <c r="AD19" s="46"/>
      <c r="AE19" s="46"/>
      <c r="AF19" s="46"/>
      <c r="AG19" s="46"/>
      <c r="AH19" s="37"/>
      <c r="AI19" s="37"/>
      <c r="AJ19" s="37"/>
      <c r="AK19" s="37"/>
      <c r="AL19" s="37"/>
      <c r="AM19" s="37"/>
      <c r="AN19" s="47"/>
      <c r="AO19" s="47"/>
      <c r="AP19" s="47"/>
      <c r="AQ19" s="47"/>
      <c r="AR19" s="47"/>
      <c r="AS19" s="47"/>
      <c r="AT19" s="37"/>
      <c r="AU19" s="37"/>
      <c r="AV19" s="37"/>
      <c r="AW19" s="37"/>
      <c r="AX19" s="37"/>
      <c r="AY19" s="37"/>
      <c r="AZ19" s="37"/>
      <c r="BA19" s="37"/>
      <c r="BB19" s="37"/>
      <c r="BC19" s="37"/>
      <c r="BD19" s="37"/>
      <c r="BE19" s="37"/>
      <c r="BF19" s="37"/>
      <c r="BG19" s="37"/>
      <c r="BH19" s="37"/>
      <c r="BI19" s="37"/>
      <c r="BJ19" s="37"/>
      <c r="BK19" s="37"/>
      <c r="BL19" s="37"/>
      <c r="BM19" s="37"/>
      <c r="BN19" s="37"/>
      <c r="BO19" s="37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</row>
    <row r="20" spans="1:111" ht="15.95">
      <c r="A20" s="33">
        <v>3</v>
      </c>
      <c r="B20" s="31" t="s">
        <v>40</v>
      </c>
      <c r="C20" s="10">
        <v>44984</v>
      </c>
      <c r="D20" s="10">
        <v>45004</v>
      </c>
      <c r="E20" s="13"/>
      <c r="F20" s="11">
        <v>21</v>
      </c>
      <c r="G20" s="12">
        <v>0</v>
      </c>
      <c r="H20" s="36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7"/>
      <c r="AK20" s="37"/>
      <c r="AL20" s="37"/>
      <c r="AM20" s="37"/>
      <c r="AN20" s="37"/>
      <c r="AO20" s="37"/>
      <c r="AP20" s="37"/>
      <c r="AQ20" s="37"/>
      <c r="AR20" s="37"/>
      <c r="AS20" s="37"/>
      <c r="AT20" s="37"/>
      <c r="AU20" s="37"/>
      <c r="AV20" s="47"/>
      <c r="AW20" s="47"/>
      <c r="AX20" s="47"/>
      <c r="AY20" s="47"/>
      <c r="AZ20" s="47"/>
      <c r="BA20" s="47"/>
      <c r="BB20" s="47"/>
      <c r="BC20" s="47"/>
      <c r="BD20" s="47"/>
      <c r="BE20" s="47"/>
      <c r="BF20" s="47"/>
      <c r="BG20" s="47"/>
      <c r="BH20" s="47"/>
      <c r="BI20" s="47"/>
      <c r="BJ20" s="47"/>
      <c r="BK20" s="47"/>
      <c r="BL20" s="47"/>
      <c r="BM20" s="47"/>
      <c r="BN20" s="47"/>
      <c r="BO20" s="47"/>
      <c r="BP20" s="47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</row>
    <row r="21" spans="1:111" ht="15.95">
      <c r="A21" s="9">
        <v>3.1</v>
      </c>
      <c r="B21" s="26" t="s">
        <v>41</v>
      </c>
      <c r="C21" s="10">
        <v>44988</v>
      </c>
      <c r="D21" s="10">
        <v>44997</v>
      </c>
      <c r="E21" s="13"/>
      <c r="F21" s="11">
        <v>9</v>
      </c>
      <c r="G21" s="12">
        <v>0</v>
      </c>
      <c r="H21" s="36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I21" s="37"/>
      <c r="AJ21" s="37"/>
      <c r="AK21" s="37"/>
      <c r="AL21" s="37"/>
      <c r="AM21" s="37"/>
      <c r="AN21" s="37"/>
      <c r="AW21" s="37"/>
      <c r="AX21" s="37"/>
      <c r="AY21" s="37"/>
      <c r="AZ21" s="47"/>
      <c r="BA21" s="47"/>
      <c r="BB21" s="47"/>
      <c r="BC21" s="47"/>
      <c r="BD21" s="47"/>
      <c r="BE21" s="47"/>
      <c r="BF21" s="47"/>
      <c r="BG21" s="47"/>
      <c r="BH21" s="47"/>
      <c r="BI21" s="47"/>
      <c r="BJ21" s="37"/>
      <c r="BK21" s="37"/>
      <c r="BL21" s="37"/>
      <c r="BM21" s="37"/>
      <c r="BN21" s="37"/>
      <c r="BO21" s="37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</row>
    <row r="22" spans="1:111" ht="15.95">
      <c r="A22" s="9">
        <v>3.2</v>
      </c>
      <c r="B22" s="26" t="s">
        <v>42</v>
      </c>
      <c r="C22" s="10">
        <v>44989</v>
      </c>
      <c r="D22" s="10">
        <v>44997</v>
      </c>
      <c r="E22" s="13"/>
      <c r="F22" s="15">
        <v>9</v>
      </c>
      <c r="G22" s="12">
        <v>0</v>
      </c>
      <c r="BA22" s="47"/>
      <c r="BB22" s="47"/>
      <c r="BC22" s="47"/>
      <c r="BD22" s="47"/>
      <c r="BE22" s="47"/>
      <c r="BF22" s="47"/>
      <c r="BG22" s="47"/>
      <c r="BH22" s="47"/>
      <c r="BI22" s="47"/>
    </row>
    <row r="23" spans="1:111" ht="15.95">
      <c r="A23" s="32">
        <v>4</v>
      </c>
      <c r="B23" s="31" t="s">
        <v>43</v>
      </c>
      <c r="C23" s="10">
        <v>44993</v>
      </c>
      <c r="D23" s="10">
        <v>45004</v>
      </c>
      <c r="E23" s="13"/>
      <c r="F23" s="15">
        <v>12</v>
      </c>
      <c r="G23" s="12">
        <v>0</v>
      </c>
      <c r="BE23" s="47"/>
      <c r="BF23" s="47"/>
      <c r="BG23" s="47"/>
      <c r="BH23" s="47"/>
      <c r="BI23" s="47"/>
      <c r="BJ23" s="47"/>
      <c r="BK23" s="47"/>
      <c r="BL23" s="47"/>
      <c r="BM23" s="47"/>
      <c r="BN23" s="47"/>
      <c r="BO23" s="47"/>
      <c r="BP23" s="47"/>
    </row>
    <row r="24" spans="1:111" ht="15.95">
      <c r="A24" s="20">
        <v>4.0999999999999996</v>
      </c>
      <c r="B24" s="26" t="s">
        <v>44</v>
      </c>
      <c r="C24" s="10">
        <v>44993</v>
      </c>
      <c r="D24" s="10">
        <v>44997</v>
      </c>
      <c r="E24" s="13"/>
      <c r="F24" s="15">
        <v>4</v>
      </c>
      <c r="G24" s="12">
        <v>0</v>
      </c>
      <c r="BE24" s="47"/>
      <c r="BF24" s="47"/>
      <c r="BG24" s="47"/>
      <c r="BH24" s="47"/>
      <c r="BI24" s="47"/>
    </row>
    <row r="25" spans="1:111" ht="15.95">
      <c r="A25" s="20">
        <v>4.2</v>
      </c>
      <c r="B25" s="26" t="s">
        <v>45</v>
      </c>
      <c r="C25" s="10">
        <v>44994</v>
      </c>
      <c r="D25" s="10">
        <v>44998</v>
      </c>
      <c r="E25" s="13"/>
      <c r="F25" s="15">
        <v>4</v>
      </c>
      <c r="G25" s="12">
        <v>0</v>
      </c>
      <c r="BF25" s="47"/>
      <c r="BG25" s="47"/>
      <c r="BH25" s="47"/>
      <c r="BI25" s="47"/>
      <c r="BJ25" s="47"/>
    </row>
    <row r="26" spans="1:111" ht="15.95">
      <c r="A26" s="20">
        <v>4.3</v>
      </c>
      <c r="B26" s="26" t="s">
        <v>46</v>
      </c>
      <c r="C26" s="10">
        <v>44999</v>
      </c>
      <c r="D26" s="10">
        <v>45002</v>
      </c>
      <c r="E26" s="13"/>
      <c r="F26" s="15">
        <v>3</v>
      </c>
      <c r="G26" s="12">
        <v>0</v>
      </c>
      <c r="BK26" s="47"/>
      <c r="BL26" s="47"/>
      <c r="BM26" s="47"/>
      <c r="BN26" s="47"/>
    </row>
    <row r="27" spans="1:111" ht="15.95">
      <c r="A27" s="32">
        <v>5</v>
      </c>
      <c r="B27" s="31" t="s">
        <v>47</v>
      </c>
      <c r="C27" s="10">
        <v>45000</v>
      </c>
      <c r="D27" s="10">
        <v>45046</v>
      </c>
      <c r="E27" s="13"/>
      <c r="F27" s="15">
        <v>25</v>
      </c>
      <c r="G27" s="12">
        <v>0</v>
      </c>
      <c r="BL27" s="47"/>
      <c r="BM27" s="47"/>
      <c r="BN27" s="47"/>
      <c r="BO27" s="47"/>
      <c r="BP27" s="47"/>
      <c r="BQ27" s="47"/>
      <c r="BR27" s="47"/>
      <c r="BS27" s="47"/>
      <c r="BT27" s="47"/>
      <c r="BU27" s="47"/>
      <c r="BV27" s="47"/>
      <c r="BW27" s="47"/>
      <c r="BX27" s="47"/>
      <c r="BY27" s="47"/>
      <c r="BZ27" s="47"/>
      <c r="CA27" s="47"/>
      <c r="CB27" s="47"/>
      <c r="CC27" s="47"/>
      <c r="CD27" s="47"/>
      <c r="CE27" s="47"/>
      <c r="CF27" s="47"/>
      <c r="CG27" s="47"/>
      <c r="CH27" s="47"/>
      <c r="CI27" s="47"/>
      <c r="CJ27" s="47"/>
      <c r="CK27" s="47"/>
      <c r="CL27" s="47"/>
      <c r="CM27" s="47"/>
      <c r="CN27" s="47"/>
      <c r="CO27" s="47"/>
      <c r="CP27" s="47"/>
      <c r="CQ27" s="47"/>
      <c r="CR27" s="47"/>
      <c r="CS27" s="47"/>
      <c r="CT27" s="47"/>
      <c r="CU27" s="47"/>
      <c r="CV27" s="47"/>
      <c r="CW27" s="47"/>
      <c r="CX27" s="47"/>
      <c r="CY27" s="47"/>
      <c r="CZ27" s="47"/>
      <c r="DA27" s="47"/>
      <c r="DB27" s="47"/>
      <c r="DC27" s="47"/>
      <c r="DD27" s="47"/>
      <c r="DE27" s="47"/>
      <c r="DF27" s="47"/>
      <c r="DG27" s="47"/>
    </row>
    <row r="28" spans="1:111" ht="15.95">
      <c r="A28" s="20">
        <v>5.0999999999999996</v>
      </c>
      <c r="B28" s="26" t="s">
        <v>48</v>
      </c>
      <c r="C28" s="10">
        <v>45000</v>
      </c>
      <c r="D28" s="10">
        <v>45004</v>
      </c>
      <c r="E28" s="13"/>
      <c r="F28" s="16">
        <v>5</v>
      </c>
      <c r="G28" s="12">
        <v>0</v>
      </c>
      <c r="H28" s="36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BL28" s="47"/>
      <c r="BM28" s="47"/>
      <c r="BN28" s="47"/>
      <c r="BO28" s="47"/>
      <c r="BP28" s="47"/>
    </row>
    <row r="29" spans="1:111" ht="15.95">
      <c r="A29" s="20">
        <v>5.2</v>
      </c>
      <c r="B29" s="26" t="s">
        <v>49</v>
      </c>
      <c r="C29" s="10">
        <v>45005</v>
      </c>
      <c r="D29" s="10">
        <v>45009</v>
      </c>
      <c r="E29" s="13"/>
      <c r="F29" s="15">
        <v>5</v>
      </c>
      <c r="G29" s="12">
        <v>0</v>
      </c>
      <c r="BQ29" s="47"/>
      <c r="BR29" s="47"/>
      <c r="BS29" s="47"/>
      <c r="BT29" s="47"/>
      <c r="BU29" s="47"/>
    </row>
    <row r="30" spans="1:111" ht="15.95">
      <c r="A30" s="20">
        <v>5.3</v>
      </c>
      <c r="B30" s="26" t="s">
        <v>50</v>
      </c>
      <c r="C30" s="10">
        <v>45033</v>
      </c>
      <c r="D30" s="10">
        <v>45036</v>
      </c>
      <c r="E30" s="13"/>
      <c r="F30" s="15">
        <v>4</v>
      </c>
      <c r="G30" s="12">
        <v>0</v>
      </c>
    </row>
  </sheetData>
  <phoneticPr fontId="5" type="noConversion"/>
  <conditionalFormatting sqref="G11:G30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{6BEC6750-241A-4D30-AECC-2C2EB5460C9E}</x14:id>
        </ext>
      </extLst>
    </cfRule>
  </conditionalFormatting>
  <pageMargins left="0.7" right="0.7" top="0.75" bottom="0.75" header="0.3" footer="0.3"/>
  <pageSetup paperSize="9" orientation="portrait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BEC6750-241A-4D30-AECC-2C2EB5460C9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G11:G30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9BB00-8343-4D69-914B-897E4A5C7997}">
  <dimension ref="A1:BB63"/>
  <sheetViews>
    <sheetView topLeftCell="A4" zoomScale="133" zoomScaleNormal="120" workbookViewId="0">
      <pane xSplit="7" ySplit="6" topLeftCell="H10" activePane="bottomRight" state="frozen"/>
      <selection pane="bottomRight" activeCell="T23" sqref="R23:T24"/>
      <selection pane="bottomLeft"/>
      <selection pane="topRight"/>
    </sheetView>
  </sheetViews>
  <sheetFormatPr defaultColWidth="4.28515625" defaultRowHeight="15"/>
  <cols>
    <col min="1" max="1" width="5.140625" style="98" bestFit="1" customWidth="1"/>
    <col min="2" max="2" width="99.28515625" customWidth="1"/>
    <col min="3" max="4" width="9.28515625" customWidth="1"/>
    <col min="5" max="5" width="17.85546875" customWidth="1"/>
    <col min="6" max="6" width="5.85546875" customWidth="1"/>
    <col min="7" max="7" width="17.7109375" style="1" customWidth="1"/>
    <col min="8" max="10" width="4.28515625" bestFit="1" customWidth="1"/>
    <col min="11" max="11" width="3.85546875" customWidth="1"/>
    <col min="12" max="17" width="4.28515625" bestFit="1" customWidth="1"/>
    <col min="18" max="42" width="4.42578125" customWidth="1"/>
    <col min="43" max="43" width="3.7109375" customWidth="1"/>
  </cols>
  <sheetData>
    <row r="1" spans="1:54">
      <c r="A1" s="97"/>
      <c r="B1" s="17"/>
      <c r="C1" s="2"/>
      <c r="D1" s="1"/>
      <c r="E1" s="17"/>
      <c r="F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54" ht="15.75">
      <c r="B2" s="23" t="s">
        <v>0</v>
      </c>
    </row>
    <row r="3" spans="1:54">
      <c r="B3" t="s">
        <v>1</v>
      </c>
    </row>
    <row r="4" spans="1:54">
      <c r="A4" s="97"/>
      <c r="B4" s="1"/>
      <c r="C4" s="1"/>
      <c r="D4" s="17" t="s">
        <v>2</v>
      </c>
      <c r="E4" s="1"/>
      <c r="F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54">
      <c r="A5" s="97"/>
      <c r="C5" s="1"/>
      <c r="D5" s="21"/>
      <c r="E5" s="17" t="s">
        <v>3</v>
      </c>
      <c r="F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54">
      <c r="B6" s="18"/>
      <c r="D6" s="48"/>
      <c r="E6" s="17" t="s">
        <v>4</v>
      </c>
      <c r="T6" s="1"/>
      <c r="U6" s="1"/>
      <c r="V6" s="1"/>
      <c r="W6" s="1"/>
      <c r="X6" s="1"/>
      <c r="Y6" s="1"/>
      <c r="Z6" s="1"/>
      <c r="AA6" s="1"/>
    </row>
    <row r="7" spans="1:54">
      <c r="B7" s="18"/>
      <c r="D7" s="22"/>
      <c r="E7" s="17" t="s">
        <v>5</v>
      </c>
      <c r="S7" s="3"/>
      <c r="T7" s="3"/>
      <c r="U7" s="3"/>
      <c r="V7" s="3"/>
      <c r="W7" s="3"/>
      <c r="X7" s="4"/>
      <c r="Y7" s="4"/>
      <c r="Z7" s="4"/>
      <c r="AA7" s="1"/>
    </row>
    <row r="8" spans="1:54">
      <c r="A8" s="97"/>
      <c r="B8" s="18"/>
      <c r="C8" s="1"/>
      <c r="D8" s="49"/>
      <c r="E8" s="17" t="s">
        <v>6</v>
      </c>
      <c r="F8" s="1"/>
      <c r="H8" s="17"/>
      <c r="I8" s="17"/>
      <c r="J8" s="17"/>
      <c r="K8" s="17" t="s">
        <v>20</v>
      </c>
      <c r="L8" s="17"/>
      <c r="M8" s="17"/>
      <c r="N8" s="17"/>
      <c r="O8" s="17"/>
      <c r="P8" s="17"/>
      <c r="Q8" s="17"/>
      <c r="R8" s="24" t="s">
        <v>21</v>
      </c>
      <c r="S8" s="1"/>
      <c r="T8" s="1"/>
      <c r="U8" s="1"/>
      <c r="V8" s="1"/>
      <c r="W8" s="1"/>
      <c r="X8" s="1"/>
      <c r="Y8" s="1"/>
      <c r="Z8" s="1"/>
      <c r="AA8" s="1"/>
    </row>
    <row r="9" spans="1:54" ht="37.5">
      <c r="A9" s="97"/>
      <c r="B9" s="1"/>
      <c r="C9" s="1"/>
      <c r="F9" s="1"/>
      <c r="H9" s="3">
        <v>45740</v>
      </c>
      <c r="I9" s="3">
        <v>45741</v>
      </c>
      <c r="J9" s="3">
        <v>45742</v>
      </c>
      <c r="K9" s="3">
        <v>45743</v>
      </c>
      <c r="L9" s="3">
        <v>45744</v>
      </c>
      <c r="M9" s="3">
        <v>45745</v>
      </c>
      <c r="N9" s="3">
        <v>45746</v>
      </c>
      <c r="O9" s="3">
        <v>45747</v>
      </c>
      <c r="P9" s="3">
        <v>45748</v>
      </c>
      <c r="Q9" s="3">
        <v>45749</v>
      </c>
      <c r="R9" s="3">
        <v>45750</v>
      </c>
      <c r="S9" s="3">
        <v>45751</v>
      </c>
      <c r="T9" s="3">
        <v>45752</v>
      </c>
      <c r="U9" s="3">
        <v>45753</v>
      </c>
      <c r="V9" s="3">
        <v>45754</v>
      </c>
      <c r="W9" s="3">
        <v>45755</v>
      </c>
      <c r="X9" s="3">
        <v>45756</v>
      </c>
      <c r="Y9" s="3">
        <v>45757</v>
      </c>
      <c r="Z9" s="3">
        <v>45758</v>
      </c>
      <c r="AA9" s="3">
        <v>45759</v>
      </c>
      <c r="AB9" s="3">
        <v>45760</v>
      </c>
      <c r="AC9" s="3">
        <v>45761</v>
      </c>
      <c r="AD9" s="3">
        <v>45762</v>
      </c>
      <c r="AE9" s="3">
        <v>45763</v>
      </c>
      <c r="AF9" s="3">
        <v>45764</v>
      </c>
      <c r="AG9" s="3">
        <v>45765</v>
      </c>
      <c r="AH9" s="3">
        <v>45766</v>
      </c>
      <c r="AI9" s="3">
        <v>45767</v>
      </c>
      <c r="AJ9" s="3">
        <v>45768</v>
      </c>
      <c r="AK9" s="3">
        <v>45769</v>
      </c>
      <c r="AL9" s="3">
        <v>45770</v>
      </c>
      <c r="AM9" s="3">
        <v>45771</v>
      </c>
      <c r="AN9" s="3">
        <v>45772</v>
      </c>
      <c r="AO9" s="3">
        <v>45773</v>
      </c>
      <c r="AP9" s="3">
        <v>45774</v>
      </c>
      <c r="AQ9" s="3">
        <v>45775</v>
      </c>
      <c r="AR9" s="3">
        <v>45776</v>
      </c>
      <c r="AS9" s="3">
        <v>45777</v>
      </c>
      <c r="AT9" s="3">
        <v>45778</v>
      </c>
      <c r="AU9" s="3">
        <v>45779</v>
      </c>
      <c r="AV9" s="3">
        <v>45780</v>
      </c>
      <c r="AW9" s="3">
        <v>45781</v>
      </c>
      <c r="AX9" s="3">
        <v>45782</v>
      </c>
      <c r="AY9" s="3">
        <v>45783</v>
      </c>
      <c r="AZ9" s="3">
        <v>45784</v>
      </c>
      <c r="BA9" s="3">
        <v>45785</v>
      </c>
      <c r="BB9" s="3">
        <v>45786</v>
      </c>
    </row>
    <row r="10" spans="1:54">
      <c r="A10" s="99" t="s">
        <v>22</v>
      </c>
      <c r="B10" s="79" t="s">
        <v>23</v>
      </c>
      <c r="C10" s="80" t="s">
        <v>24</v>
      </c>
      <c r="D10" s="79" t="s">
        <v>25</v>
      </c>
      <c r="E10" s="80" t="s">
        <v>26</v>
      </c>
      <c r="F10" s="79" t="s">
        <v>27</v>
      </c>
      <c r="G10" s="80" t="s">
        <v>28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54" ht="11.25" customHeight="1">
      <c r="A11" s="87">
        <v>3</v>
      </c>
      <c r="B11" s="87" t="s">
        <v>51</v>
      </c>
      <c r="C11" s="88">
        <v>45742</v>
      </c>
      <c r="D11" s="88">
        <v>45774</v>
      </c>
      <c r="E11" s="89"/>
      <c r="F11" s="89">
        <f>D11-C11+1</f>
        <v>33</v>
      </c>
      <c r="G11" s="90">
        <f>SUM(H11:AQ11)/F11</f>
        <v>0.21212121212121213</v>
      </c>
      <c r="H11" s="76"/>
      <c r="I11" s="76"/>
      <c r="J11" s="75">
        <v>1</v>
      </c>
      <c r="K11" s="75">
        <v>1</v>
      </c>
      <c r="L11" s="75">
        <v>1</v>
      </c>
      <c r="M11" s="75">
        <v>1</v>
      </c>
      <c r="N11" s="75">
        <v>1</v>
      </c>
      <c r="O11" s="75">
        <v>1</v>
      </c>
      <c r="P11" s="75">
        <v>1</v>
      </c>
      <c r="Q11" s="78"/>
      <c r="R11" s="78"/>
      <c r="S11" s="78"/>
      <c r="T11" s="78"/>
      <c r="U11" s="78"/>
      <c r="V11" s="78"/>
      <c r="W11" s="78"/>
      <c r="X11" s="78"/>
      <c r="Y11" s="78"/>
      <c r="Z11" s="78"/>
      <c r="AA11" s="78"/>
      <c r="AB11" s="72"/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78"/>
      <c r="AN11" s="78"/>
      <c r="AO11" s="78"/>
      <c r="AP11" s="103"/>
      <c r="AQ11" s="103"/>
      <c r="AR11" s="103"/>
      <c r="AS11" s="103"/>
      <c r="AT11" s="103"/>
      <c r="AU11" s="103"/>
      <c r="AV11" s="103"/>
      <c r="AW11" s="103"/>
      <c r="AX11" s="103"/>
      <c r="AY11" s="103"/>
      <c r="AZ11" s="103"/>
      <c r="BA11" s="103"/>
      <c r="BB11" s="103"/>
    </row>
    <row r="12" spans="1:54" ht="11.25" customHeight="1">
      <c r="A12" s="100">
        <v>3.1</v>
      </c>
      <c r="B12" s="94" t="s">
        <v>52</v>
      </c>
      <c r="C12" s="95">
        <v>45742</v>
      </c>
      <c r="D12" s="95">
        <v>45770</v>
      </c>
      <c r="E12" s="96"/>
      <c r="F12" s="89">
        <f t="shared" ref="F12:F63" si="0">D12-C12+1</f>
        <v>29</v>
      </c>
      <c r="G12" s="90">
        <f>SUM(H12:AQ12)/F12</f>
        <v>0.2413793103448276</v>
      </c>
      <c r="H12" s="76"/>
      <c r="I12" s="76"/>
      <c r="J12" s="75">
        <v>1</v>
      </c>
      <c r="K12" s="75">
        <v>1</v>
      </c>
      <c r="L12" s="75">
        <v>1</v>
      </c>
      <c r="M12" s="75">
        <v>1</v>
      </c>
      <c r="N12" s="75">
        <v>1</v>
      </c>
      <c r="O12" s="75">
        <v>1</v>
      </c>
      <c r="P12" s="75">
        <v>1</v>
      </c>
      <c r="Q12" s="78"/>
      <c r="R12" s="78"/>
      <c r="S12" s="78"/>
      <c r="T12" s="78"/>
      <c r="U12" s="78"/>
      <c r="V12" s="78"/>
      <c r="W12" s="78"/>
      <c r="X12" s="78"/>
      <c r="Y12" s="78"/>
      <c r="Z12" s="78"/>
      <c r="AA12" s="78"/>
      <c r="AB12" s="72"/>
      <c r="AC12" s="72"/>
      <c r="AD12" s="72"/>
      <c r="AE12" s="72"/>
      <c r="AF12" s="72"/>
      <c r="AG12" s="72"/>
      <c r="AH12" s="72"/>
      <c r="AI12" s="72"/>
      <c r="AJ12" s="72"/>
      <c r="AK12" s="72"/>
      <c r="AL12" s="72"/>
      <c r="AM12" s="71"/>
      <c r="AN12" s="71"/>
      <c r="AO12" s="71"/>
      <c r="AP12" s="104"/>
      <c r="AQ12" s="71"/>
      <c r="AR12" s="71"/>
      <c r="AS12" s="71"/>
      <c r="AT12" s="71"/>
      <c r="AU12" s="71"/>
      <c r="AV12" s="71"/>
      <c r="AW12" s="71"/>
      <c r="AX12" s="71"/>
      <c r="AY12" s="71"/>
      <c r="AZ12" s="71"/>
      <c r="BA12" s="71"/>
      <c r="BB12" s="71"/>
    </row>
    <row r="13" spans="1:54">
      <c r="A13" s="77" t="s">
        <v>53</v>
      </c>
      <c r="B13" s="113" t="s">
        <v>54</v>
      </c>
      <c r="C13" s="73">
        <v>45742</v>
      </c>
      <c r="D13" s="73">
        <v>45743</v>
      </c>
      <c r="E13" s="74" t="s">
        <v>55</v>
      </c>
      <c r="F13" s="89">
        <f t="shared" si="0"/>
        <v>2</v>
      </c>
      <c r="G13" s="85">
        <f>SUM(H13:AQ13)/F13</f>
        <v>1</v>
      </c>
      <c r="H13" s="76"/>
      <c r="I13" s="76"/>
      <c r="J13" s="75">
        <v>1</v>
      </c>
      <c r="K13" s="75">
        <v>1</v>
      </c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  <c r="AA13" s="76"/>
      <c r="AB13" s="71"/>
      <c r="AC13" s="71"/>
      <c r="AD13" s="71"/>
      <c r="AE13" s="71"/>
      <c r="AF13" s="71"/>
      <c r="AG13" s="71"/>
      <c r="AH13" s="71"/>
      <c r="AI13" s="71"/>
      <c r="AJ13" s="71"/>
      <c r="AK13" s="71"/>
      <c r="AL13" s="71"/>
      <c r="AM13" s="71"/>
      <c r="AN13" s="71"/>
      <c r="AO13" s="71"/>
      <c r="AP13" s="104"/>
      <c r="AQ13" s="71"/>
      <c r="AR13" s="71"/>
      <c r="AS13" s="71"/>
      <c r="AT13" s="71"/>
      <c r="AU13" s="71"/>
      <c r="AV13" s="71"/>
      <c r="AW13" s="71"/>
      <c r="AX13" s="71"/>
      <c r="AY13" s="71"/>
      <c r="AZ13" s="71"/>
      <c r="BA13" s="71"/>
      <c r="BB13" s="71"/>
    </row>
    <row r="14" spans="1:54">
      <c r="A14" s="77" t="s">
        <v>56</v>
      </c>
      <c r="B14" s="113" t="s">
        <v>57</v>
      </c>
      <c r="C14" s="73">
        <v>45743</v>
      </c>
      <c r="D14" s="73">
        <v>45744</v>
      </c>
      <c r="E14" s="74" t="s">
        <v>55</v>
      </c>
      <c r="F14" s="89">
        <f t="shared" si="0"/>
        <v>2</v>
      </c>
      <c r="G14" s="86">
        <f t="shared" ref="G14:G61" si="1">SUM(H14:AQ14)/F14</f>
        <v>1</v>
      </c>
      <c r="H14" s="76"/>
      <c r="I14" s="76"/>
      <c r="J14" s="75">
        <v>1</v>
      </c>
      <c r="K14" s="75">
        <v>1</v>
      </c>
      <c r="L14" s="76"/>
      <c r="M14" s="76"/>
      <c r="N14" s="76"/>
      <c r="O14" s="76"/>
      <c r="P14" s="76"/>
      <c r="Q14" s="76"/>
      <c r="R14" s="76"/>
      <c r="S14" s="76"/>
      <c r="T14" s="76"/>
      <c r="U14" s="76"/>
      <c r="V14" s="76"/>
      <c r="W14" s="76"/>
      <c r="X14" s="76"/>
      <c r="Y14" s="76"/>
      <c r="Z14" s="76"/>
      <c r="AA14" s="76"/>
      <c r="AB14" s="71"/>
      <c r="AC14" s="71"/>
      <c r="AD14" s="71"/>
      <c r="AE14" s="71"/>
      <c r="AF14" s="71"/>
      <c r="AG14" s="71"/>
      <c r="AH14" s="71"/>
      <c r="AI14" s="71"/>
      <c r="AJ14" s="71"/>
      <c r="AK14" s="71"/>
      <c r="AL14" s="71"/>
      <c r="AM14" s="71"/>
      <c r="AN14" s="71"/>
      <c r="AO14" s="71"/>
      <c r="AP14" s="104"/>
      <c r="AQ14" s="71"/>
      <c r="AR14" s="71"/>
      <c r="AS14" s="71"/>
      <c r="AT14" s="71"/>
      <c r="AU14" s="71"/>
      <c r="AV14" s="71"/>
      <c r="AW14" s="71"/>
      <c r="AX14" s="71"/>
      <c r="AY14" s="71"/>
      <c r="AZ14" s="71"/>
      <c r="BA14" s="71"/>
      <c r="BB14" s="71"/>
    </row>
    <row r="15" spans="1:54">
      <c r="A15" s="77" t="s">
        <v>58</v>
      </c>
      <c r="B15" s="113" t="s">
        <v>59</v>
      </c>
      <c r="C15" s="73">
        <v>45743</v>
      </c>
      <c r="D15" s="73">
        <v>45751</v>
      </c>
      <c r="E15" s="74" t="s">
        <v>60</v>
      </c>
      <c r="F15" s="89">
        <f t="shared" si="0"/>
        <v>9</v>
      </c>
      <c r="G15" s="86">
        <f t="shared" si="1"/>
        <v>1</v>
      </c>
      <c r="H15" s="76"/>
      <c r="I15" s="76"/>
      <c r="J15" s="76"/>
      <c r="K15" s="75">
        <v>1</v>
      </c>
      <c r="L15" s="75">
        <v>1</v>
      </c>
      <c r="M15" s="75">
        <v>1</v>
      </c>
      <c r="N15" s="75">
        <v>1</v>
      </c>
      <c r="O15" s="75">
        <v>1</v>
      </c>
      <c r="P15" s="75">
        <v>1</v>
      </c>
      <c r="Q15" s="75">
        <v>1</v>
      </c>
      <c r="R15" s="75">
        <v>1</v>
      </c>
      <c r="S15" s="75">
        <v>1</v>
      </c>
      <c r="T15" s="76"/>
      <c r="U15" s="76"/>
      <c r="V15" s="76"/>
      <c r="W15" s="76"/>
      <c r="X15" s="76"/>
      <c r="Y15" s="76"/>
      <c r="Z15" s="76"/>
      <c r="AA15" s="76"/>
      <c r="AB15" s="71"/>
      <c r="AC15" s="71"/>
      <c r="AD15" s="71"/>
      <c r="AE15" s="71"/>
      <c r="AF15" s="71"/>
      <c r="AG15" s="71"/>
      <c r="AH15" s="71"/>
      <c r="AI15" s="71"/>
      <c r="AJ15" s="71"/>
      <c r="AK15" s="71"/>
      <c r="AL15" s="71"/>
      <c r="AM15" s="71"/>
      <c r="AN15" s="71"/>
      <c r="AO15" s="71"/>
      <c r="AP15" s="104"/>
      <c r="AQ15" s="71"/>
      <c r="AR15" s="71"/>
      <c r="AS15" s="71"/>
      <c r="AT15" s="71"/>
      <c r="AU15" s="71"/>
      <c r="AV15" s="71"/>
      <c r="AW15" s="71"/>
      <c r="AX15" s="71"/>
      <c r="AY15" s="71"/>
      <c r="AZ15" s="71"/>
      <c r="BA15" s="71"/>
      <c r="BB15" s="71"/>
    </row>
    <row r="16" spans="1:54">
      <c r="A16" s="77" t="s">
        <v>61</v>
      </c>
      <c r="B16" s="113" t="s">
        <v>62</v>
      </c>
      <c r="C16" s="73">
        <v>45754</v>
      </c>
      <c r="D16" s="73">
        <v>45770</v>
      </c>
      <c r="E16" s="74" t="s">
        <v>60</v>
      </c>
      <c r="F16" s="89">
        <f t="shared" si="0"/>
        <v>17</v>
      </c>
      <c r="G16" s="86">
        <f t="shared" si="1"/>
        <v>0.6470588235294118</v>
      </c>
      <c r="H16" s="76"/>
      <c r="I16" s="76"/>
      <c r="J16" s="75">
        <v>1</v>
      </c>
      <c r="K16" s="75">
        <v>1</v>
      </c>
      <c r="L16" s="75">
        <v>1</v>
      </c>
      <c r="M16" s="75">
        <v>1</v>
      </c>
      <c r="N16" s="75">
        <v>1</v>
      </c>
      <c r="O16" s="75">
        <v>1</v>
      </c>
      <c r="P16" s="75">
        <v>1</v>
      </c>
      <c r="Q16" s="75">
        <v>1</v>
      </c>
      <c r="R16" s="75">
        <v>1</v>
      </c>
      <c r="S16" s="75">
        <v>1</v>
      </c>
      <c r="T16" s="75">
        <v>1</v>
      </c>
      <c r="U16" s="78"/>
      <c r="V16" s="78"/>
      <c r="W16" s="78"/>
      <c r="X16" s="78"/>
      <c r="Y16" s="78"/>
      <c r="Z16" s="78"/>
      <c r="AA16" s="78"/>
      <c r="AB16" s="72"/>
      <c r="AC16" s="72"/>
      <c r="AD16" s="72"/>
      <c r="AE16" s="72"/>
      <c r="AF16" s="72"/>
      <c r="AG16" s="72"/>
      <c r="AH16" s="72"/>
      <c r="AI16" s="72"/>
      <c r="AJ16" s="72"/>
      <c r="AK16" s="72"/>
      <c r="AL16" s="72"/>
      <c r="AM16" s="71"/>
      <c r="AN16" s="71"/>
      <c r="AO16" s="71"/>
      <c r="AP16" s="104"/>
      <c r="AQ16" s="71"/>
      <c r="AR16" s="71"/>
      <c r="AS16" s="71"/>
      <c r="AT16" s="71"/>
      <c r="AU16" s="71"/>
      <c r="AV16" s="71"/>
      <c r="AW16" s="71"/>
      <c r="AX16" s="71"/>
      <c r="AY16" s="71"/>
      <c r="AZ16" s="71"/>
      <c r="BA16" s="71"/>
      <c r="BB16" s="71"/>
    </row>
    <row r="17" spans="1:54" ht="12" customHeight="1">
      <c r="A17" s="87">
        <v>3.2</v>
      </c>
      <c r="B17" s="87" t="s">
        <v>63</v>
      </c>
      <c r="C17" s="88">
        <v>45742</v>
      </c>
      <c r="D17" s="88">
        <v>45748</v>
      </c>
      <c r="E17" s="89" t="s">
        <v>64</v>
      </c>
      <c r="F17" s="89">
        <f t="shared" si="0"/>
        <v>7</v>
      </c>
      <c r="G17" s="90">
        <f t="shared" si="1"/>
        <v>1</v>
      </c>
      <c r="H17" s="76"/>
      <c r="I17" s="76"/>
      <c r="J17" s="75">
        <v>1</v>
      </c>
      <c r="K17" s="75">
        <v>1</v>
      </c>
      <c r="L17" s="75">
        <v>1</v>
      </c>
      <c r="M17" s="75">
        <v>1</v>
      </c>
      <c r="N17" s="75">
        <v>1</v>
      </c>
      <c r="O17" s="75">
        <v>1</v>
      </c>
      <c r="P17" s="75">
        <v>1</v>
      </c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  <c r="AB17" s="71"/>
      <c r="AC17" s="71"/>
      <c r="AD17" s="71"/>
      <c r="AE17" s="71"/>
      <c r="AF17" s="71"/>
      <c r="AG17" s="71"/>
      <c r="AH17" s="71"/>
      <c r="AI17" s="71"/>
      <c r="AJ17" s="71"/>
      <c r="AK17" s="71"/>
      <c r="AL17" s="71"/>
      <c r="AM17" s="71"/>
      <c r="AN17" s="71"/>
      <c r="AO17" s="71"/>
      <c r="AP17" s="104"/>
      <c r="AQ17" s="71"/>
      <c r="AR17" s="71"/>
      <c r="AS17" s="71"/>
      <c r="AT17" s="71"/>
      <c r="AU17" s="71"/>
      <c r="AV17" s="71"/>
      <c r="AW17" s="71"/>
      <c r="AX17" s="71"/>
      <c r="AY17" s="71"/>
      <c r="AZ17" s="71"/>
      <c r="BA17" s="71"/>
      <c r="BB17" s="71"/>
    </row>
    <row r="18" spans="1:54" ht="12" customHeight="1">
      <c r="A18" s="100" t="s">
        <v>65</v>
      </c>
      <c r="B18" s="94" t="s">
        <v>66</v>
      </c>
      <c r="C18" s="95">
        <v>45742</v>
      </c>
      <c r="D18" s="95">
        <v>45744</v>
      </c>
      <c r="E18" s="96" t="s">
        <v>64</v>
      </c>
      <c r="F18" s="89">
        <f t="shared" si="0"/>
        <v>3</v>
      </c>
      <c r="G18" s="90">
        <f t="shared" si="1"/>
        <v>1</v>
      </c>
      <c r="H18" s="76"/>
      <c r="I18" s="76"/>
      <c r="J18" s="75">
        <v>1</v>
      </c>
      <c r="K18" s="75">
        <v>1</v>
      </c>
      <c r="L18" s="75">
        <v>1</v>
      </c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76"/>
      <c r="X18" s="76"/>
      <c r="Y18" s="76"/>
      <c r="Z18" s="76"/>
      <c r="AA18" s="76"/>
      <c r="AB18" s="71"/>
      <c r="AC18" s="71"/>
      <c r="AD18" s="71"/>
      <c r="AE18" s="71"/>
      <c r="AF18" s="71"/>
      <c r="AG18" s="71"/>
      <c r="AH18" s="71"/>
      <c r="AI18" s="71"/>
      <c r="AJ18" s="71"/>
      <c r="AK18" s="71"/>
      <c r="AL18" s="71"/>
      <c r="AM18" s="71"/>
      <c r="AN18" s="71"/>
      <c r="AO18" s="71"/>
      <c r="AP18" s="104"/>
      <c r="AQ18" s="71"/>
      <c r="AR18" s="71"/>
      <c r="AS18" s="71"/>
      <c r="AT18" s="71"/>
      <c r="AU18" s="71"/>
      <c r="AV18" s="71"/>
      <c r="AW18" s="71"/>
      <c r="AX18" s="71"/>
      <c r="AY18" s="71"/>
      <c r="AZ18" s="71"/>
      <c r="BA18" s="71"/>
      <c r="BB18" s="71"/>
    </row>
    <row r="19" spans="1:54">
      <c r="A19" s="101" t="s">
        <v>67</v>
      </c>
      <c r="B19" s="113" t="s">
        <v>68</v>
      </c>
      <c r="C19" s="73">
        <v>45742</v>
      </c>
      <c r="D19" s="73">
        <v>45744</v>
      </c>
      <c r="E19" s="74" t="s">
        <v>64</v>
      </c>
      <c r="F19" s="89">
        <f t="shared" si="0"/>
        <v>3</v>
      </c>
      <c r="G19" s="86">
        <f t="shared" si="1"/>
        <v>1</v>
      </c>
      <c r="H19" s="76"/>
      <c r="I19" s="76"/>
      <c r="J19" s="75">
        <v>1</v>
      </c>
      <c r="K19" s="75">
        <v>1</v>
      </c>
      <c r="L19" s="75">
        <v>1</v>
      </c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6"/>
      <c r="Z19" s="76"/>
      <c r="AA19" s="76"/>
      <c r="AB19" s="71"/>
      <c r="AC19" s="71"/>
      <c r="AD19" s="71"/>
      <c r="AE19" s="71"/>
      <c r="AF19" s="71"/>
      <c r="AG19" s="71"/>
      <c r="AH19" s="71"/>
      <c r="AI19" s="71"/>
      <c r="AJ19" s="71"/>
      <c r="AK19" s="71"/>
      <c r="AL19" s="71"/>
      <c r="AM19" s="71"/>
      <c r="AN19" s="71"/>
      <c r="AO19" s="71"/>
      <c r="AP19" s="104"/>
      <c r="AQ19" s="71"/>
      <c r="AR19" s="71"/>
      <c r="AS19" s="71"/>
      <c r="AT19" s="71"/>
      <c r="AU19" s="71"/>
      <c r="AV19" s="71"/>
      <c r="AW19" s="71"/>
      <c r="AX19" s="71"/>
      <c r="AY19" s="71"/>
      <c r="AZ19" s="71"/>
      <c r="BA19" s="71"/>
      <c r="BB19" s="71"/>
    </row>
    <row r="20" spans="1:54">
      <c r="A20" s="101" t="s">
        <v>69</v>
      </c>
      <c r="B20" s="113" t="s">
        <v>70</v>
      </c>
      <c r="C20" s="73">
        <v>45742</v>
      </c>
      <c r="D20" s="73">
        <v>45744</v>
      </c>
      <c r="E20" s="74" t="s">
        <v>64</v>
      </c>
      <c r="F20" s="89">
        <f t="shared" si="0"/>
        <v>3</v>
      </c>
      <c r="G20" s="86">
        <f t="shared" si="1"/>
        <v>1</v>
      </c>
      <c r="H20" s="76"/>
      <c r="I20" s="76"/>
      <c r="J20" s="75">
        <v>1</v>
      </c>
      <c r="K20" s="75">
        <v>1</v>
      </c>
      <c r="L20" s="75">
        <v>1</v>
      </c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76"/>
      <c r="X20" s="76"/>
      <c r="Y20" s="76"/>
      <c r="Z20" s="76"/>
      <c r="AA20" s="76"/>
      <c r="AB20" s="71"/>
      <c r="AC20" s="71"/>
      <c r="AD20" s="71"/>
      <c r="AE20" s="71"/>
      <c r="AF20" s="71"/>
      <c r="AG20" s="71"/>
      <c r="AH20" s="71"/>
      <c r="AI20" s="71"/>
      <c r="AJ20" s="71"/>
      <c r="AK20" s="71"/>
      <c r="AL20" s="71"/>
      <c r="AM20" s="71"/>
      <c r="AN20" s="71"/>
      <c r="AO20" s="71"/>
      <c r="AP20" s="104"/>
      <c r="AQ20" s="71"/>
      <c r="AR20" s="71"/>
      <c r="AS20" s="71"/>
      <c r="AT20" s="71"/>
      <c r="AU20" s="71"/>
      <c r="AV20" s="71"/>
      <c r="AW20" s="71"/>
      <c r="AX20" s="71"/>
      <c r="AY20" s="71"/>
      <c r="AZ20" s="71"/>
      <c r="BA20" s="71"/>
      <c r="BB20" s="71"/>
    </row>
    <row r="21" spans="1:54">
      <c r="A21" s="101" t="s">
        <v>71</v>
      </c>
      <c r="B21" s="113" t="s">
        <v>72</v>
      </c>
      <c r="C21" s="73">
        <v>45744</v>
      </c>
      <c r="D21" s="73">
        <v>45748</v>
      </c>
      <c r="E21" s="74" t="s">
        <v>64</v>
      </c>
      <c r="F21" s="89">
        <f t="shared" si="0"/>
        <v>5</v>
      </c>
      <c r="G21" s="86">
        <f t="shared" si="1"/>
        <v>1</v>
      </c>
      <c r="H21" s="76"/>
      <c r="I21" s="76"/>
      <c r="J21" s="76"/>
      <c r="K21" s="76"/>
      <c r="L21" s="75">
        <v>1</v>
      </c>
      <c r="M21" s="75">
        <v>1</v>
      </c>
      <c r="N21" s="75">
        <v>1</v>
      </c>
      <c r="O21" s="75">
        <v>1</v>
      </c>
      <c r="P21" s="75">
        <v>1</v>
      </c>
      <c r="Q21" s="76"/>
      <c r="R21" s="76"/>
      <c r="S21" s="76"/>
      <c r="T21" s="76"/>
      <c r="U21" s="76"/>
      <c r="V21" s="76"/>
      <c r="W21" s="76"/>
      <c r="X21" s="76"/>
      <c r="Y21" s="76"/>
      <c r="Z21" s="76"/>
      <c r="AA21" s="76"/>
      <c r="AB21" s="71"/>
      <c r="AC21" s="71"/>
      <c r="AD21" s="71"/>
      <c r="AE21" s="71"/>
      <c r="AF21" s="71"/>
      <c r="AG21" s="71"/>
      <c r="AH21" s="71"/>
      <c r="AI21" s="71"/>
      <c r="AJ21" s="71"/>
      <c r="AK21" s="71"/>
      <c r="AL21" s="71"/>
      <c r="AM21" s="71"/>
      <c r="AN21" s="71"/>
      <c r="AO21" s="71"/>
      <c r="AP21" s="104"/>
      <c r="AQ21" s="71"/>
      <c r="AR21" s="71"/>
      <c r="AS21" s="71"/>
      <c r="AT21" s="71"/>
      <c r="AU21" s="71"/>
      <c r="AV21" s="71"/>
      <c r="AW21" s="71"/>
      <c r="AX21" s="71"/>
      <c r="AY21" s="71"/>
      <c r="AZ21" s="71"/>
      <c r="BA21" s="71"/>
      <c r="BB21" s="71"/>
    </row>
    <row r="22" spans="1:54">
      <c r="A22" s="101" t="s">
        <v>73</v>
      </c>
      <c r="B22" s="114" t="s">
        <v>74</v>
      </c>
      <c r="C22" s="73">
        <v>45748</v>
      </c>
      <c r="D22" s="73">
        <v>45748</v>
      </c>
      <c r="E22" s="74" t="s">
        <v>64</v>
      </c>
      <c r="F22" s="89">
        <f t="shared" si="0"/>
        <v>1</v>
      </c>
      <c r="G22" s="86">
        <f t="shared" si="1"/>
        <v>1</v>
      </c>
      <c r="H22" s="76"/>
      <c r="I22" s="76"/>
      <c r="J22" s="76"/>
      <c r="K22" s="76"/>
      <c r="L22" s="76"/>
      <c r="M22" s="76"/>
      <c r="N22" s="76"/>
      <c r="O22" s="76"/>
      <c r="P22" s="75">
        <v>1</v>
      </c>
      <c r="Q22" s="76"/>
      <c r="R22" s="76"/>
      <c r="S22" s="76"/>
      <c r="T22" s="76"/>
      <c r="U22" s="76"/>
      <c r="V22" s="76"/>
      <c r="W22" s="76"/>
      <c r="X22" s="76"/>
      <c r="Y22" s="76"/>
      <c r="Z22" s="76"/>
      <c r="AA22" s="76"/>
      <c r="AB22" s="71"/>
      <c r="AC22" s="71"/>
      <c r="AD22" s="71"/>
      <c r="AE22" s="71"/>
      <c r="AF22" s="71"/>
      <c r="AG22" s="71"/>
      <c r="AH22" s="71"/>
      <c r="AI22" s="71"/>
      <c r="AJ22" s="71"/>
      <c r="AK22" s="71"/>
      <c r="AL22" s="71"/>
      <c r="AM22" s="71"/>
      <c r="AN22" s="71"/>
      <c r="AO22" s="71"/>
      <c r="AP22" s="104"/>
      <c r="AQ22" s="71"/>
      <c r="AR22" s="71"/>
      <c r="AS22" s="71"/>
      <c r="AT22" s="71"/>
      <c r="AU22" s="71"/>
      <c r="AV22" s="71"/>
      <c r="AW22" s="71"/>
      <c r="AX22" s="71"/>
      <c r="AY22" s="71"/>
      <c r="AZ22" s="71"/>
      <c r="BA22" s="71"/>
      <c r="BB22" s="71"/>
    </row>
    <row r="23" spans="1:54" s="93" customFormat="1" ht="11.25" customHeight="1">
      <c r="A23" s="87">
        <v>4</v>
      </c>
      <c r="B23" s="87" t="s">
        <v>75</v>
      </c>
      <c r="C23" s="88">
        <v>45748</v>
      </c>
      <c r="D23" s="88">
        <v>45751</v>
      </c>
      <c r="E23" s="89"/>
      <c r="F23" s="89">
        <f t="shared" si="0"/>
        <v>4</v>
      </c>
      <c r="G23" s="90">
        <f t="shared" si="1"/>
        <v>1</v>
      </c>
      <c r="H23" s="91"/>
      <c r="I23" s="91"/>
      <c r="J23" s="91"/>
      <c r="K23" s="91"/>
      <c r="L23" s="91"/>
      <c r="M23" s="91"/>
      <c r="N23" s="91"/>
      <c r="O23" s="91"/>
      <c r="P23" s="75">
        <v>1</v>
      </c>
      <c r="Q23" s="75">
        <v>1</v>
      </c>
      <c r="R23" s="92"/>
      <c r="S23" s="92"/>
      <c r="T23" s="92"/>
      <c r="U23" s="92"/>
      <c r="V23" s="92"/>
      <c r="W23" s="92"/>
      <c r="X23" s="92"/>
      <c r="Y23" s="92"/>
      <c r="Z23" s="92"/>
      <c r="AA23" s="92"/>
      <c r="AB23" s="92"/>
      <c r="AC23" s="75">
        <v>1</v>
      </c>
      <c r="AD23" s="75">
        <v>1</v>
      </c>
      <c r="AE23" s="92"/>
      <c r="AF23" s="92"/>
      <c r="AG23" s="92"/>
      <c r="AH23" s="92"/>
      <c r="AI23" s="92"/>
      <c r="AJ23" s="92"/>
      <c r="AK23" s="92"/>
      <c r="AL23" s="92"/>
      <c r="AM23" s="92"/>
      <c r="AN23" s="92"/>
      <c r="AO23" s="92"/>
      <c r="AP23" s="105"/>
      <c r="AQ23" s="92"/>
      <c r="AR23" s="92"/>
      <c r="AS23" s="92"/>
      <c r="AT23" s="92"/>
      <c r="AU23" s="92"/>
      <c r="AV23" s="92"/>
      <c r="AW23" s="92"/>
      <c r="AX23" s="92"/>
      <c r="AY23" s="92"/>
      <c r="AZ23" s="92"/>
      <c r="BA23" s="92"/>
      <c r="BB23" s="92"/>
    </row>
    <row r="24" spans="1:54" s="93" customFormat="1" ht="11.25" customHeight="1">
      <c r="A24" s="100">
        <v>4.0999999999999996</v>
      </c>
      <c r="B24" s="94" t="s">
        <v>76</v>
      </c>
      <c r="C24" s="95">
        <v>45748</v>
      </c>
      <c r="D24" s="95">
        <v>45751</v>
      </c>
      <c r="E24" s="96"/>
      <c r="F24" s="89">
        <f t="shared" si="0"/>
        <v>4</v>
      </c>
      <c r="G24" s="90">
        <f t="shared" si="1"/>
        <v>1</v>
      </c>
      <c r="H24" s="91"/>
      <c r="I24" s="91"/>
      <c r="J24" s="91"/>
      <c r="K24" s="91"/>
      <c r="L24" s="91"/>
      <c r="M24" s="91"/>
      <c r="N24" s="91"/>
      <c r="O24" s="91"/>
      <c r="P24" s="75">
        <v>1</v>
      </c>
      <c r="Q24" s="75">
        <v>1</v>
      </c>
      <c r="R24" s="92"/>
      <c r="S24" s="92"/>
      <c r="T24" s="92"/>
      <c r="U24" s="92"/>
      <c r="V24" s="92"/>
      <c r="W24" s="92"/>
      <c r="X24" s="92"/>
      <c r="Y24" s="92"/>
      <c r="Z24" s="92"/>
      <c r="AA24" s="92"/>
      <c r="AB24" s="92"/>
      <c r="AC24" s="75">
        <v>1</v>
      </c>
      <c r="AD24" s="75">
        <v>1</v>
      </c>
      <c r="AE24" s="92"/>
      <c r="AF24" s="92"/>
      <c r="AG24" s="92"/>
      <c r="AH24" s="92"/>
      <c r="AI24" s="92"/>
      <c r="AJ24" s="92"/>
      <c r="AK24" s="92"/>
      <c r="AL24" s="92"/>
      <c r="AM24" s="92"/>
      <c r="AN24" s="92"/>
      <c r="AO24" s="92"/>
      <c r="AP24" s="105"/>
      <c r="AQ24" s="92"/>
      <c r="AR24" s="92"/>
      <c r="AS24" s="92"/>
      <c r="AT24" s="92"/>
      <c r="AU24" s="92"/>
      <c r="AV24" s="92"/>
      <c r="AW24" s="92"/>
      <c r="AX24" s="92"/>
      <c r="AY24" s="92"/>
      <c r="AZ24" s="92"/>
      <c r="BA24" s="92"/>
      <c r="BB24" s="92"/>
    </row>
    <row r="25" spans="1:54" ht="18" customHeight="1">
      <c r="A25" s="101" t="s">
        <v>77</v>
      </c>
      <c r="B25" s="113" t="s">
        <v>78</v>
      </c>
      <c r="C25" s="73">
        <v>45748</v>
      </c>
      <c r="D25" s="73">
        <v>45749</v>
      </c>
      <c r="E25" s="74" t="s">
        <v>64</v>
      </c>
      <c r="F25" s="89">
        <f t="shared" si="0"/>
        <v>2</v>
      </c>
      <c r="G25" s="86">
        <f t="shared" si="1"/>
        <v>1</v>
      </c>
      <c r="H25" s="76"/>
      <c r="I25" s="76"/>
      <c r="J25" s="76"/>
      <c r="K25" s="76"/>
      <c r="L25" s="76"/>
      <c r="M25" s="76"/>
      <c r="N25" s="76"/>
      <c r="O25" s="76"/>
      <c r="P25" s="75">
        <v>1</v>
      </c>
      <c r="Q25" s="75">
        <v>1</v>
      </c>
      <c r="R25" s="76"/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71"/>
      <c r="AD25" s="71"/>
      <c r="AE25" s="71"/>
      <c r="AF25" s="71"/>
      <c r="AG25" s="71"/>
      <c r="AH25" s="71"/>
      <c r="AI25" s="71"/>
      <c r="AJ25" s="71"/>
      <c r="AK25" s="71"/>
      <c r="AL25" s="71"/>
      <c r="AM25" s="71"/>
      <c r="AN25" s="71"/>
      <c r="AO25" s="71"/>
      <c r="AP25" s="104"/>
      <c r="AQ25" s="71"/>
      <c r="AR25" s="71"/>
      <c r="AS25" s="71"/>
      <c r="AT25" s="71"/>
      <c r="AU25" s="71"/>
      <c r="AV25" s="71"/>
      <c r="AW25" s="71"/>
      <c r="AX25" s="71"/>
      <c r="AY25" s="71"/>
      <c r="AZ25" s="71"/>
      <c r="BA25" s="71"/>
      <c r="BB25" s="71"/>
    </row>
    <row r="26" spans="1:54" ht="18.75" customHeight="1">
      <c r="A26" s="101" t="s">
        <v>79</v>
      </c>
      <c r="B26" s="113" t="s">
        <v>80</v>
      </c>
      <c r="C26" s="73">
        <v>45748</v>
      </c>
      <c r="D26" s="73">
        <v>45749</v>
      </c>
      <c r="E26" s="74" t="s">
        <v>55</v>
      </c>
      <c r="F26" s="89">
        <f t="shared" si="0"/>
        <v>2</v>
      </c>
      <c r="G26" s="86">
        <f t="shared" si="1"/>
        <v>1</v>
      </c>
      <c r="H26" s="76"/>
      <c r="I26" s="76"/>
      <c r="J26" s="76"/>
      <c r="K26" s="76"/>
      <c r="L26" s="76"/>
      <c r="M26" s="76"/>
      <c r="N26" s="76"/>
      <c r="O26" s="76"/>
      <c r="P26" s="75">
        <v>1</v>
      </c>
      <c r="Q26" s="75">
        <v>1</v>
      </c>
      <c r="R26" s="76"/>
      <c r="S26" s="71"/>
      <c r="T26" s="71"/>
      <c r="U26" s="71"/>
      <c r="V26" s="71"/>
      <c r="W26" s="71"/>
      <c r="X26" s="71"/>
      <c r="Y26" s="71"/>
      <c r="Z26" s="71"/>
      <c r="AA26" s="71"/>
      <c r="AB26" s="71"/>
      <c r="AC26" s="71"/>
      <c r="AD26" s="71"/>
      <c r="AE26" s="71"/>
      <c r="AF26" s="71"/>
      <c r="AG26" s="71"/>
      <c r="AH26" s="71"/>
      <c r="AI26" s="71"/>
      <c r="AJ26" s="71"/>
      <c r="AK26" s="71"/>
      <c r="AL26" s="71"/>
      <c r="AM26" s="71"/>
      <c r="AN26" s="71"/>
      <c r="AO26" s="71"/>
      <c r="AP26" s="104"/>
      <c r="AQ26" s="71"/>
      <c r="AR26" s="71"/>
      <c r="AS26" s="71"/>
      <c r="AT26" s="71"/>
      <c r="AU26" s="71"/>
      <c r="AV26" s="71"/>
      <c r="AW26" s="71"/>
      <c r="AX26" s="71"/>
      <c r="AY26" s="71"/>
      <c r="AZ26" s="71"/>
      <c r="BA26" s="71"/>
      <c r="BB26" s="71"/>
    </row>
    <row r="27" spans="1:54" ht="18.75" customHeight="1">
      <c r="A27" s="101" t="s">
        <v>81</v>
      </c>
      <c r="B27" s="115" t="s">
        <v>82</v>
      </c>
      <c r="C27" s="73">
        <v>45748</v>
      </c>
      <c r="D27" s="73">
        <v>45749</v>
      </c>
      <c r="E27" s="74" t="s">
        <v>60</v>
      </c>
      <c r="F27" s="89">
        <f t="shared" si="0"/>
        <v>2</v>
      </c>
      <c r="G27" s="86">
        <f t="shared" si="1"/>
        <v>1</v>
      </c>
      <c r="H27" s="76"/>
      <c r="I27" s="76"/>
      <c r="J27" s="76"/>
      <c r="K27" s="76"/>
      <c r="L27" s="76"/>
      <c r="M27" s="76"/>
      <c r="N27" s="76"/>
      <c r="O27" s="76"/>
      <c r="P27" s="75">
        <v>1</v>
      </c>
      <c r="Q27" s="75">
        <v>1</v>
      </c>
      <c r="R27" s="76"/>
      <c r="S27" s="71"/>
      <c r="T27" s="71"/>
      <c r="U27" s="71"/>
      <c r="V27" s="71"/>
      <c r="W27" s="71"/>
      <c r="X27" s="71"/>
      <c r="Y27" s="71"/>
      <c r="Z27" s="71"/>
      <c r="AA27" s="71"/>
      <c r="AB27" s="71"/>
      <c r="AC27" s="71"/>
      <c r="AD27" s="71"/>
      <c r="AE27" s="71"/>
      <c r="AF27" s="71"/>
      <c r="AG27" s="71"/>
      <c r="AH27" s="71"/>
      <c r="AI27" s="71"/>
      <c r="AJ27" s="71"/>
      <c r="AK27" s="71"/>
      <c r="AL27" s="71"/>
      <c r="AM27" s="71"/>
      <c r="AN27" s="71"/>
      <c r="AO27" s="71"/>
      <c r="AP27" s="104"/>
      <c r="AQ27" s="71"/>
      <c r="AR27" s="71"/>
      <c r="AS27" s="71"/>
      <c r="AT27" s="71"/>
      <c r="AU27" s="71"/>
      <c r="AV27" s="71"/>
      <c r="AW27" s="71"/>
      <c r="AX27" s="71"/>
      <c r="AY27" s="71"/>
      <c r="AZ27" s="71"/>
      <c r="BA27" s="71"/>
      <c r="BB27" s="71"/>
    </row>
    <row r="28" spans="1:54">
      <c r="A28" s="101" t="s">
        <v>83</v>
      </c>
      <c r="B28" s="113" t="s">
        <v>84</v>
      </c>
      <c r="C28" s="73">
        <v>45749</v>
      </c>
      <c r="D28" s="73">
        <v>45749</v>
      </c>
      <c r="E28" s="74" t="s">
        <v>64</v>
      </c>
      <c r="F28" s="89">
        <f t="shared" si="0"/>
        <v>1</v>
      </c>
      <c r="G28" s="86">
        <f t="shared" si="1"/>
        <v>1</v>
      </c>
      <c r="H28" s="71"/>
      <c r="I28" s="71"/>
      <c r="J28" s="71"/>
      <c r="K28" s="71"/>
      <c r="L28" s="71"/>
      <c r="M28" s="71"/>
      <c r="N28" s="71"/>
      <c r="O28" s="71"/>
      <c r="P28" s="71"/>
      <c r="Q28" s="75">
        <v>1</v>
      </c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71"/>
      <c r="AJ28" s="71"/>
      <c r="AK28" s="71"/>
      <c r="AL28" s="71"/>
      <c r="AM28" s="71"/>
      <c r="AN28" s="71"/>
      <c r="AO28" s="71"/>
      <c r="AP28" s="104"/>
      <c r="AQ28" s="71"/>
      <c r="AR28" s="71"/>
      <c r="AS28" s="71"/>
      <c r="AT28" s="71"/>
      <c r="AU28" s="71"/>
      <c r="AV28" s="71"/>
      <c r="AW28" s="71"/>
      <c r="AX28" s="71"/>
      <c r="AY28" s="71"/>
      <c r="AZ28" s="71"/>
      <c r="BA28" s="71"/>
      <c r="BB28" s="71"/>
    </row>
    <row r="29" spans="1:54" ht="18.75" customHeight="1">
      <c r="A29" s="101" t="s">
        <v>85</v>
      </c>
      <c r="B29" s="115" t="s">
        <v>86</v>
      </c>
      <c r="C29" s="73">
        <v>45750</v>
      </c>
      <c r="D29" s="73">
        <v>45751</v>
      </c>
      <c r="E29" s="74" t="s">
        <v>64</v>
      </c>
      <c r="F29" s="89">
        <f t="shared" si="0"/>
        <v>2</v>
      </c>
      <c r="G29" s="86">
        <f t="shared" si="1"/>
        <v>0</v>
      </c>
      <c r="H29" s="76"/>
      <c r="I29" s="76"/>
      <c r="J29" s="76"/>
      <c r="K29" s="76"/>
      <c r="L29" s="76"/>
      <c r="M29" s="76"/>
      <c r="N29" s="76"/>
      <c r="O29" s="76"/>
      <c r="P29" s="76"/>
      <c r="Q29" s="76"/>
      <c r="R29" s="71"/>
      <c r="S29" s="71"/>
      <c r="T29" s="71"/>
      <c r="U29" s="71"/>
      <c r="V29" s="71"/>
      <c r="W29" s="71"/>
      <c r="X29" s="71"/>
      <c r="Y29" s="71"/>
      <c r="Z29" s="71"/>
      <c r="AA29" s="71"/>
      <c r="AB29" s="71"/>
      <c r="AC29" s="78"/>
      <c r="AD29" s="78"/>
      <c r="AE29" s="71"/>
      <c r="AF29" s="71"/>
      <c r="AG29" s="71"/>
      <c r="AH29" s="71"/>
      <c r="AI29" s="71"/>
      <c r="AJ29" s="71"/>
      <c r="AK29" s="71"/>
      <c r="AL29" s="71"/>
      <c r="AM29" s="71"/>
      <c r="AN29" s="71"/>
      <c r="AO29" s="71"/>
      <c r="AP29" s="104"/>
      <c r="AQ29" s="71"/>
      <c r="AR29" s="71"/>
      <c r="AS29" s="71"/>
      <c r="AT29" s="71"/>
      <c r="AU29" s="71"/>
      <c r="AV29" s="71"/>
      <c r="AW29" s="71"/>
      <c r="AX29" s="71"/>
      <c r="AY29" s="71"/>
      <c r="AZ29" s="71"/>
      <c r="BA29" s="71"/>
      <c r="BB29" s="71"/>
    </row>
    <row r="30" spans="1:54" ht="18.75" customHeight="1">
      <c r="A30" s="101" t="s">
        <v>87</v>
      </c>
      <c r="B30" s="115" t="s">
        <v>88</v>
      </c>
      <c r="C30" s="73">
        <v>45750</v>
      </c>
      <c r="D30" s="73">
        <v>45751</v>
      </c>
      <c r="E30" s="74" t="s">
        <v>55</v>
      </c>
      <c r="F30" s="89">
        <f t="shared" si="0"/>
        <v>2</v>
      </c>
      <c r="G30" s="86">
        <f t="shared" si="1"/>
        <v>0</v>
      </c>
      <c r="H30" s="76"/>
      <c r="I30" s="76"/>
      <c r="J30" s="76"/>
      <c r="K30" s="76"/>
      <c r="L30" s="76"/>
      <c r="M30" s="76"/>
      <c r="N30" s="76"/>
      <c r="O30" s="76"/>
      <c r="P30" s="76"/>
      <c r="Q30" s="76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8"/>
      <c r="AD30" s="78"/>
      <c r="AE30" s="71"/>
      <c r="AF30" s="71"/>
      <c r="AG30" s="71"/>
      <c r="AH30" s="71"/>
      <c r="AI30" s="71"/>
      <c r="AJ30" s="71"/>
      <c r="AK30" s="71"/>
      <c r="AL30" s="71"/>
      <c r="AM30" s="71"/>
      <c r="AN30" s="71"/>
      <c r="AO30" s="71"/>
      <c r="AP30" s="104"/>
      <c r="AQ30" s="71"/>
      <c r="AR30" s="71"/>
      <c r="AS30" s="71"/>
      <c r="AT30" s="71"/>
      <c r="AU30" s="71"/>
      <c r="AV30" s="71"/>
      <c r="AW30" s="71"/>
      <c r="AX30" s="71"/>
      <c r="AY30" s="71"/>
      <c r="AZ30" s="71"/>
      <c r="BA30" s="71"/>
      <c r="BB30" s="71"/>
    </row>
    <row r="31" spans="1:54" ht="18.75" customHeight="1">
      <c r="A31" s="101" t="s">
        <v>89</v>
      </c>
      <c r="B31" s="83" t="s">
        <v>74</v>
      </c>
      <c r="C31" s="73">
        <v>45720</v>
      </c>
      <c r="D31" s="73">
        <v>45751</v>
      </c>
      <c r="E31" s="74" t="s">
        <v>55</v>
      </c>
      <c r="F31" s="89">
        <f t="shared" si="0"/>
        <v>32</v>
      </c>
      <c r="G31" s="86">
        <f t="shared" si="1"/>
        <v>0</v>
      </c>
      <c r="H31" s="76"/>
      <c r="I31" s="76"/>
      <c r="J31" s="76"/>
      <c r="K31" s="76"/>
      <c r="L31" s="76"/>
      <c r="M31" s="76"/>
      <c r="N31" s="76"/>
      <c r="O31" s="76"/>
      <c r="P31" s="76"/>
      <c r="Q31" s="76"/>
      <c r="R31" s="71"/>
      <c r="S31" s="71"/>
      <c r="T31" s="71"/>
      <c r="U31" s="71"/>
      <c r="V31" s="71"/>
      <c r="W31" s="71"/>
      <c r="X31" s="71"/>
      <c r="Y31" s="71"/>
      <c r="Z31" s="71"/>
      <c r="AA31" s="71"/>
      <c r="AB31" s="71"/>
      <c r="AC31" s="76"/>
      <c r="AD31" s="78"/>
      <c r="AE31" s="71"/>
      <c r="AF31" s="71"/>
      <c r="AG31" s="71"/>
      <c r="AH31" s="71"/>
      <c r="AI31" s="71"/>
      <c r="AJ31" s="71"/>
      <c r="AK31" s="71"/>
      <c r="AL31" s="71"/>
      <c r="AM31" s="71"/>
      <c r="AN31" s="71"/>
      <c r="AO31" s="71"/>
      <c r="AP31" s="104"/>
      <c r="AQ31" s="71"/>
      <c r="AR31" s="71"/>
      <c r="AS31" s="71"/>
      <c r="AT31" s="71"/>
      <c r="AU31" s="71"/>
      <c r="AV31" s="71"/>
      <c r="AW31" s="71"/>
      <c r="AX31" s="71"/>
      <c r="AY31" s="71"/>
      <c r="AZ31" s="71"/>
      <c r="BA31" s="71"/>
      <c r="BB31" s="71"/>
    </row>
    <row r="32" spans="1:54" ht="11.25" customHeight="1">
      <c r="A32" s="100">
        <v>4.2</v>
      </c>
      <c r="B32" s="94" t="s">
        <v>90</v>
      </c>
      <c r="C32" s="95">
        <v>45754</v>
      </c>
      <c r="D32" s="95">
        <v>45765</v>
      </c>
      <c r="E32" s="96"/>
      <c r="F32" s="89">
        <f t="shared" si="0"/>
        <v>12</v>
      </c>
      <c r="G32" s="86">
        <f t="shared" si="1"/>
        <v>0.91666666666666663</v>
      </c>
      <c r="H32" s="76"/>
      <c r="I32" s="76"/>
      <c r="J32" s="76"/>
      <c r="K32" s="76"/>
      <c r="L32" s="76"/>
      <c r="M32" s="76"/>
      <c r="N32" s="76"/>
      <c r="O32" s="76"/>
      <c r="P32" s="76"/>
      <c r="Q32" s="76"/>
      <c r="R32" s="76"/>
      <c r="S32" s="71"/>
      <c r="T32" s="71"/>
      <c r="U32" s="71"/>
      <c r="V32" s="75">
        <v>1</v>
      </c>
      <c r="W32" s="75">
        <v>1</v>
      </c>
      <c r="X32" s="75">
        <v>1</v>
      </c>
      <c r="Y32" s="75">
        <v>1</v>
      </c>
      <c r="Z32" s="75">
        <v>1</v>
      </c>
      <c r="AA32" s="75">
        <v>1</v>
      </c>
      <c r="AB32" s="75">
        <v>1</v>
      </c>
      <c r="AC32" s="75">
        <v>1</v>
      </c>
      <c r="AD32" s="75">
        <v>1</v>
      </c>
      <c r="AE32" s="75">
        <v>1</v>
      </c>
      <c r="AF32" s="75">
        <v>1</v>
      </c>
      <c r="AG32" s="71"/>
      <c r="AH32" s="71"/>
      <c r="AI32" s="71"/>
      <c r="AJ32" s="71"/>
      <c r="AK32" s="71"/>
      <c r="AL32" s="71"/>
      <c r="AM32" s="71"/>
      <c r="AN32" s="71"/>
      <c r="AO32" s="71"/>
      <c r="AP32" s="104"/>
      <c r="AQ32" s="71"/>
      <c r="AR32" s="71"/>
      <c r="AS32" s="71"/>
      <c r="AT32" s="71"/>
      <c r="AU32" s="71"/>
      <c r="AV32" s="71"/>
      <c r="AW32" s="71"/>
      <c r="AX32" s="71"/>
      <c r="AY32" s="71"/>
      <c r="AZ32" s="71"/>
      <c r="BA32" s="71"/>
      <c r="BB32" s="71"/>
    </row>
    <row r="33" spans="1:54" ht="18.75" customHeight="1">
      <c r="A33" s="101" t="s">
        <v>91</v>
      </c>
      <c r="B33" s="113" t="s">
        <v>92</v>
      </c>
      <c r="C33" s="73">
        <v>45754</v>
      </c>
      <c r="D33" s="73">
        <v>45758</v>
      </c>
      <c r="E33" s="74" t="s">
        <v>64</v>
      </c>
      <c r="F33" s="89">
        <f t="shared" si="0"/>
        <v>5</v>
      </c>
      <c r="G33" s="86">
        <f t="shared" si="1"/>
        <v>1</v>
      </c>
      <c r="H33" s="76"/>
      <c r="I33" s="76"/>
      <c r="J33" s="76"/>
      <c r="K33" s="76"/>
      <c r="L33" s="76"/>
      <c r="M33" s="76"/>
      <c r="N33" s="76"/>
      <c r="O33" s="76"/>
      <c r="P33" s="76"/>
      <c r="Q33" s="76"/>
      <c r="R33" s="76"/>
      <c r="S33" s="71"/>
      <c r="T33" s="71"/>
      <c r="U33" s="71"/>
      <c r="V33" s="75">
        <v>1</v>
      </c>
      <c r="W33" s="75">
        <v>1</v>
      </c>
      <c r="X33" s="75">
        <v>1</v>
      </c>
      <c r="Y33" s="75">
        <v>1</v>
      </c>
      <c r="Z33" s="75">
        <v>1</v>
      </c>
      <c r="AA33" s="71"/>
      <c r="AB33" s="71"/>
      <c r="AC33" s="71"/>
      <c r="AD33" s="71"/>
      <c r="AE33" s="71"/>
      <c r="AF33" s="71"/>
      <c r="AG33" s="71"/>
      <c r="AH33" s="71"/>
      <c r="AI33" s="71"/>
      <c r="AJ33" s="71"/>
      <c r="AK33" s="71"/>
      <c r="AL33" s="71"/>
      <c r="AM33" s="71"/>
      <c r="AN33" s="71"/>
      <c r="AO33" s="71"/>
      <c r="AP33" s="104"/>
      <c r="AQ33" s="71"/>
      <c r="AR33" s="71"/>
      <c r="AS33" s="71"/>
      <c r="AT33" s="71"/>
      <c r="AU33" s="71"/>
      <c r="AV33" s="71"/>
      <c r="AW33" s="71"/>
      <c r="AX33" s="71"/>
      <c r="AY33" s="71"/>
      <c r="AZ33" s="71"/>
      <c r="BA33" s="71"/>
      <c r="BB33" s="71"/>
    </row>
    <row r="34" spans="1:54" ht="18.75" customHeight="1">
      <c r="A34" s="101" t="s">
        <v>93</v>
      </c>
      <c r="B34" s="113" t="s">
        <v>94</v>
      </c>
      <c r="C34" s="73">
        <v>45755</v>
      </c>
      <c r="D34" s="73">
        <v>45758</v>
      </c>
      <c r="E34" s="74" t="s">
        <v>95</v>
      </c>
      <c r="F34" s="89">
        <f t="shared" si="0"/>
        <v>4</v>
      </c>
      <c r="G34" s="86"/>
      <c r="H34" s="76"/>
      <c r="I34" s="76"/>
      <c r="J34" s="76"/>
      <c r="K34" s="76"/>
      <c r="L34" s="76"/>
      <c r="M34" s="76"/>
      <c r="N34" s="76"/>
      <c r="O34" s="76"/>
      <c r="P34" s="76"/>
      <c r="Q34" s="76"/>
      <c r="R34" s="76"/>
      <c r="S34" s="71"/>
      <c r="T34" s="71"/>
      <c r="U34" s="71"/>
      <c r="V34" s="71"/>
      <c r="W34" s="75">
        <v>1</v>
      </c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71"/>
      <c r="AJ34" s="71"/>
      <c r="AK34" s="71"/>
      <c r="AL34" s="71"/>
      <c r="AM34" s="71"/>
      <c r="AN34" s="71"/>
      <c r="AO34" s="71"/>
      <c r="AP34" s="104"/>
      <c r="AQ34" s="71"/>
      <c r="AR34" s="71"/>
      <c r="AS34" s="71"/>
      <c r="AT34" s="71"/>
      <c r="AU34" s="71"/>
      <c r="AV34" s="71"/>
      <c r="AW34" s="71"/>
      <c r="AX34" s="71"/>
      <c r="AY34" s="71"/>
      <c r="AZ34" s="71"/>
      <c r="BA34" s="71"/>
      <c r="BB34" s="71"/>
    </row>
    <row r="35" spans="1:54">
      <c r="A35" s="101" t="s">
        <v>96</v>
      </c>
      <c r="B35" s="116" t="s">
        <v>97</v>
      </c>
      <c r="C35" s="73">
        <v>45761</v>
      </c>
      <c r="D35" s="73">
        <v>45762</v>
      </c>
      <c r="E35" s="74" t="s">
        <v>64</v>
      </c>
      <c r="F35" s="89">
        <f t="shared" si="0"/>
        <v>2</v>
      </c>
      <c r="G35" s="86">
        <f t="shared" si="1"/>
        <v>0</v>
      </c>
      <c r="H35" s="71"/>
      <c r="I35" s="71"/>
      <c r="J35" s="71"/>
      <c r="K35" s="71"/>
      <c r="L35" s="71"/>
      <c r="M35" s="71"/>
      <c r="N35" s="71"/>
      <c r="O35" s="71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  <c r="AA35" s="71"/>
      <c r="AB35" s="71"/>
      <c r="AC35" s="78"/>
      <c r="AD35" s="78"/>
      <c r="AE35" s="71"/>
      <c r="AF35" s="71"/>
      <c r="AG35" s="71"/>
      <c r="AH35" s="71"/>
      <c r="AI35" s="71"/>
      <c r="AJ35" s="71"/>
      <c r="AK35" s="71"/>
      <c r="AL35" s="71"/>
      <c r="AM35" s="71"/>
      <c r="AN35" s="71"/>
      <c r="AO35" s="71"/>
      <c r="AP35" s="104"/>
      <c r="AQ35" s="71"/>
      <c r="AR35" s="71"/>
      <c r="AS35" s="71"/>
      <c r="AT35" s="71"/>
      <c r="AU35" s="71"/>
      <c r="AV35" s="71"/>
      <c r="AW35" s="71"/>
      <c r="AX35" s="71"/>
      <c r="AY35" s="71"/>
      <c r="AZ35" s="71"/>
      <c r="BA35" s="71"/>
      <c r="BB35" s="71"/>
    </row>
    <row r="36" spans="1:54">
      <c r="A36" s="102" t="s">
        <v>98</v>
      </c>
      <c r="B36" s="113" t="s">
        <v>99</v>
      </c>
      <c r="C36" s="73">
        <v>45763</v>
      </c>
      <c r="D36" s="73">
        <v>45764</v>
      </c>
      <c r="E36" s="74" t="s">
        <v>100</v>
      </c>
      <c r="F36" s="89">
        <f t="shared" si="0"/>
        <v>2</v>
      </c>
      <c r="G36" s="86">
        <f t="shared" si="1"/>
        <v>0</v>
      </c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8"/>
      <c r="AD36" s="78"/>
      <c r="AE36" s="71"/>
      <c r="AF36" s="71"/>
      <c r="AG36" s="71"/>
      <c r="AH36" s="71"/>
      <c r="AI36" s="71"/>
      <c r="AJ36" s="71"/>
      <c r="AK36" s="71"/>
      <c r="AL36" s="71"/>
      <c r="AM36" s="71"/>
      <c r="AN36" s="71"/>
      <c r="AO36" s="71"/>
      <c r="AP36" s="104"/>
      <c r="AQ36" s="71"/>
      <c r="AR36" s="71"/>
      <c r="AS36" s="71"/>
      <c r="AT36" s="71"/>
      <c r="AU36" s="71"/>
      <c r="AV36" s="71"/>
      <c r="AW36" s="71"/>
      <c r="AX36" s="71"/>
      <c r="AY36" s="71"/>
      <c r="AZ36" s="71"/>
      <c r="BA36" s="71"/>
      <c r="BB36" s="71"/>
    </row>
    <row r="37" spans="1:54">
      <c r="A37" s="101" t="s">
        <v>101</v>
      </c>
      <c r="B37" s="113" t="s">
        <v>102</v>
      </c>
      <c r="C37" s="73">
        <v>45763</v>
      </c>
      <c r="D37" s="73">
        <v>45764</v>
      </c>
      <c r="E37" s="74" t="s">
        <v>100</v>
      </c>
      <c r="F37" s="89">
        <f t="shared" si="0"/>
        <v>2</v>
      </c>
      <c r="G37" s="86">
        <f t="shared" si="1"/>
        <v>0</v>
      </c>
      <c r="H37" s="71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  <c r="AA37" s="71"/>
      <c r="AB37" s="71"/>
      <c r="AC37" s="71"/>
      <c r="AD37" s="71"/>
      <c r="AE37" s="78"/>
      <c r="AF37" s="78"/>
      <c r="AG37" s="71"/>
      <c r="AH37" s="71"/>
      <c r="AI37" s="71"/>
      <c r="AJ37" s="71"/>
      <c r="AK37" s="71"/>
      <c r="AL37" s="71"/>
      <c r="AM37" s="71"/>
      <c r="AN37" s="71"/>
      <c r="AO37" s="71"/>
      <c r="AP37" s="104"/>
      <c r="AQ37" s="71"/>
      <c r="AR37" s="71"/>
      <c r="AS37" s="71"/>
      <c r="AT37" s="71"/>
      <c r="AU37" s="71"/>
      <c r="AV37" s="71"/>
      <c r="AW37" s="71"/>
      <c r="AX37" s="71"/>
      <c r="AY37" s="71"/>
      <c r="AZ37" s="71"/>
      <c r="BA37" s="71"/>
      <c r="BB37" s="71"/>
    </row>
    <row r="38" spans="1:54">
      <c r="A38" s="102" t="s">
        <v>103</v>
      </c>
      <c r="B38" s="115" t="s">
        <v>104</v>
      </c>
      <c r="C38" s="73">
        <v>45763</v>
      </c>
      <c r="D38" s="73">
        <v>45764</v>
      </c>
      <c r="E38" s="74" t="s">
        <v>100</v>
      </c>
      <c r="F38" s="89">
        <f t="shared" si="0"/>
        <v>2</v>
      </c>
      <c r="G38" s="86">
        <f t="shared" si="1"/>
        <v>0</v>
      </c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  <c r="AA38" s="71"/>
      <c r="AB38" s="71"/>
      <c r="AC38" s="71"/>
      <c r="AD38" s="71"/>
      <c r="AE38" s="78"/>
      <c r="AF38" s="78"/>
      <c r="AG38" s="71"/>
      <c r="AH38" s="71"/>
      <c r="AI38" s="71"/>
      <c r="AJ38" s="71"/>
      <c r="AK38" s="71"/>
      <c r="AL38" s="71"/>
      <c r="AM38" s="71"/>
      <c r="AN38" s="71"/>
      <c r="AO38" s="71"/>
      <c r="AP38" s="104"/>
      <c r="AQ38" s="71"/>
      <c r="AR38" s="71"/>
      <c r="AS38" s="71"/>
      <c r="AT38" s="71"/>
      <c r="AU38" s="71"/>
      <c r="AV38" s="71"/>
      <c r="AW38" s="71"/>
      <c r="AX38" s="71"/>
      <c r="AY38" s="71"/>
      <c r="AZ38" s="71"/>
      <c r="BA38" s="71"/>
      <c r="BB38" s="71"/>
    </row>
    <row r="39" spans="1:54">
      <c r="A39" s="102" t="s">
        <v>105</v>
      </c>
      <c r="B39" s="113" t="s">
        <v>106</v>
      </c>
      <c r="C39" s="73">
        <v>45764</v>
      </c>
      <c r="D39" s="73">
        <v>45765</v>
      </c>
      <c r="E39" s="74" t="s">
        <v>64</v>
      </c>
      <c r="F39" s="89">
        <f t="shared" si="0"/>
        <v>2</v>
      </c>
      <c r="G39" s="86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1"/>
      <c r="Z39" s="71"/>
      <c r="AA39" s="71"/>
      <c r="AB39" s="71"/>
      <c r="AC39" s="71"/>
      <c r="AD39" s="71"/>
      <c r="AE39" s="71"/>
      <c r="AF39" s="78"/>
      <c r="AG39" s="78"/>
      <c r="AH39" s="71"/>
      <c r="AI39" s="71"/>
      <c r="AJ39" s="71"/>
      <c r="AK39" s="71"/>
      <c r="AL39" s="71"/>
      <c r="AM39" s="71"/>
      <c r="AN39" s="71"/>
      <c r="AO39" s="71"/>
      <c r="AP39" s="104"/>
      <c r="AQ39" s="71"/>
      <c r="AR39" s="71"/>
      <c r="AS39" s="71"/>
      <c r="AT39" s="71"/>
      <c r="AU39" s="71"/>
      <c r="AV39" s="71"/>
      <c r="AW39" s="71"/>
      <c r="AX39" s="71"/>
      <c r="AY39" s="71"/>
      <c r="AZ39" s="71"/>
      <c r="BA39" s="71"/>
      <c r="BB39" s="71"/>
    </row>
    <row r="40" spans="1:54" ht="12" customHeight="1">
      <c r="A40" s="100">
        <v>4.3</v>
      </c>
      <c r="B40" s="94" t="s">
        <v>107</v>
      </c>
      <c r="C40" s="95">
        <f>C41</f>
        <v>45765</v>
      </c>
      <c r="D40" s="95">
        <f>D44</f>
        <v>45768</v>
      </c>
      <c r="E40" s="96"/>
      <c r="F40" s="89">
        <f t="shared" si="0"/>
        <v>4</v>
      </c>
      <c r="G40" s="86">
        <f t="shared" si="1"/>
        <v>0</v>
      </c>
      <c r="H40" s="71"/>
      <c r="I40" s="71"/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71"/>
      <c r="Z40" s="71"/>
      <c r="AA40" s="71"/>
      <c r="AB40" s="71"/>
      <c r="AC40" s="71"/>
      <c r="AD40" s="71"/>
      <c r="AE40" s="71"/>
      <c r="AF40" s="71"/>
      <c r="AG40" s="78"/>
      <c r="AH40" s="78"/>
      <c r="AI40" s="78"/>
      <c r="AJ40" s="78"/>
      <c r="AK40" s="71"/>
      <c r="AL40" s="71"/>
      <c r="AM40" s="71"/>
      <c r="AN40" s="71"/>
      <c r="AO40" s="71"/>
      <c r="AP40" s="104"/>
      <c r="AQ40" s="71"/>
      <c r="AR40" s="71"/>
      <c r="AS40" s="71"/>
      <c r="AT40" s="71"/>
      <c r="AU40" s="71"/>
      <c r="AV40" s="71"/>
      <c r="AW40" s="71"/>
      <c r="AX40" s="71"/>
      <c r="AY40" s="71"/>
      <c r="AZ40" s="71"/>
      <c r="BA40" s="71"/>
      <c r="BB40" s="71"/>
    </row>
    <row r="41" spans="1:54">
      <c r="A41" s="101" t="s">
        <v>108</v>
      </c>
      <c r="B41" s="77" t="s">
        <v>109</v>
      </c>
      <c r="C41" s="73">
        <v>45765</v>
      </c>
      <c r="D41" s="73">
        <v>45768</v>
      </c>
      <c r="E41" s="74" t="s">
        <v>64</v>
      </c>
      <c r="F41" s="89">
        <f t="shared" si="0"/>
        <v>4</v>
      </c>
      <c r="G41" s="86">
        <f t="shared" si="1"/>
        <v>0</v>
      </c>
      <c r="H41" s="71"/>
      <c r="I41" s="71"/>
      <c r="J41" s="71"/>
      <c r="K41" s="71"/>
      <c r="L41" s="71"/>
      <c r="M41" s="71"/>
      <c r="N41" s="71"/>
      <c r="O41" s="71"/>
      <c r="P41" s="71"/>
      <c r="Q41" s="71"/>
      <c r="R41" s="71"/>
      <c r="S41" s="71"/>
      <c r="T41" s="71"/>
      <c r="U41" s="71"/>
      <c r="V41" s="71"/>
      <c r="W41" s="71"/>
      <c r="X41" s="71"/>
      <c r="Y41" s="71"/>
      <c r="Z41" s="71"/>
      <c r="AA41" s="71"/>
      <c r="AB41" s="71"/>
      <c r="AC41" s="71"/>
      <c r="AD41" s="71"/>
      <c r="AE41" s="71"/>
      <c r="AF41" s="71"/>
      <c r="AG41" s="78"/>
      <c r="AH41" s="78"/>
      <c r="AI41" s="78"/>
      <c r="AJ41" s="78"/>
      <c r="AK41" s="71"/>
      <c r="AL41" s="71"/>
      <c r="AM41" s="71"/>
      <c r="AN41" s="71"/>
      <c r="AO41" s="71"/>
      <c r="AP41" s="104"/>
      <c r="AQ41" s="71"/>
      <c r="AR41" s="71"/>
      <c r="AS41" s="71"/>
      <c r="AT41" s="71"/>
      <c r="AU41" s="71"/>
      <c r="AV41" s="71"/>
      <c r="AW41" s="71"/>
      <c r="AX41" s="71"/>
      <c r="AY41" s="71"/>
      <c r="AZ41" s="71"/>
      <c r="BA41" s="71"/>
      <c r="BB41" s="71"/>
    </row>
    <row r="42" spans="1:54">
      <c r="A42" s="101" t="s">
        <v>110</v>
      </c>
      <c r="B42" s="77" t="s">
        <v>111</v>
      </c>
      <c r="C42" s="73">
        <v>45765</v>
      </c>
      <c r="D42" s="73">
        <v>45768</v>
      </c>
      <c r="E42" s="74" t="s">
        <v>100</v>
      </c>
      <c r="F42" s="89">
        <f t="shared" si="0"/>
        <v>4</v>
      </c>
      <c r="G42" s="86">
        <f t="shared" si="1"/>
        <v>0</v>
      </c>
      <c r="H42" s="71"/>
      <c r="I42" s="71"/>
      <c r="J42" s="71"/>
      <c r="K42" s="71"/>
      <c r="L42" s="71"/>
      <c r="M42" s="71"/>
      <c r="N42" s="71"/>
      <c r="O42" s="71"/>
      <c r="P42" s="71"/>
      <c r="Q42" s="71"/>
      <c r="R42" s="71"/>
      <c r="S42" s="71"/>
      <c r="T42" s="71"/>
      <c r="U42" s="71"/>
      <c r="V42" s="71"/>
      <c r="W42" s="71"/>
      <c r="X42" s="71"/>
      <c r="Y42" s="71"/>
      <c r="Z42" s="71"/>
      <c r="AA42" s="71"/>
      <c r="AB42" s="71"/>
      <c r="AC42" s="71"/>
      <c r="AD42" s="71"/>
      <c r="AE42" s="71"/>
      <c r="AF42" s="71"/>
      <c r="AG42" s="78"/>
      <c r="AH42" s="78"/>
      <c r="AI42" s="78"/>
      <c r="AJ42" s="78"/>
      <c r="AK42" s="71"/>
      <c r="AL42" s="71"/>
      <c r="AM42" s="71"/>
      <c r="AN42" s="71"/>
      <c r="AO42" s="71"/>
      <c r="AP42" s="104"/>
      <c r="AQ42" s="71"/>
      <c r="AR42" s="71"/>
      <c r="AS42" s="71"/>
      <c r="AT42" s="71"/>
      <c r="AU42" s="71"/>
      <c r="AV42" s="71"/>
      <c r="AW42" s="71"/>
      <c r="AX42" s="71"/>
      <c r="AY42" s="71"/>
      <c r="AZ42" s="71"/>
      <c r="BA42" s="71"/>
      <c r="BB42" s="71"/>
    </row>
    <row r="43" spans="1:54">
      <c r="A43" s="101" t="s">
        <v>112</v>
      </c>
      <c r="B43" s="77" t="s">
        <v>113</v>
      </c>
      <c r="C43" s="73">
        <v>45765</v>
      </c>
      <c r="D43" s="73">
        <v>45768</v>
      </c>
      <c r="E43" s="74" t="s">
        <v>100</v>
      </c>
      <c r="F43" s="89">
        <f t="shared" si="0"/>
        <v>4</v>
      </c>
      <c r="G43" s="86">
        <f t="shared" si="1"/>
        <v>0</v>
      </c>
      <c r="H43" s="71"/>
      <c r="I43" s="71"/>
      <c r="J43" s="71"/>
      <c r="K43" s="71"/>
      <c r="L43" s="71"/>
      <c r="M43" s="71"/>
      <c r="N43" s="71"/>
      <c r="O43" s="71"/>
      <c r="P43" s="71"/>
      <c r="Q43" s="71"/>
      <c r="R43" s="71"/>
      <c r="S43" s="71"/>
      <c r="T43" s="71"/>
      <c r="U43" s="71"/>
      <c r="V43" s="71"/>
      <c r="W43" s="71"/>
      <c r="X43" s="71"/>
      <c r="Y43" s="71"/>
      <c r="Z43" s="71"/>
      <c r="AA43" s="71"/>
      <c r="AB43" s="71"/>
      <c r="AC43" s="71"/>
      <c r="AD43" s="71"/>
      <c r="AE43" s="71"/>
      <c r="AF43" s="71"/>
      <c r="AG43" s="78"/>
      <c r="AH43" s="78"/>
      <c r="AI43" s="78"/>
      <c r="AJ43" s="78"/>
      <c r="AK43" s="71"/>
      <c r="AL43" s="71"/>
      <c r="AM43" s="71"/>
      <c r="AN43" s="71"/>
      <c r="AO43" s="71"/>
      <c r="AP43" s="104"/>
      <c r="AQ43" s="71"/>
      <c r="AR43" s="71"/>
      <c r="AS43" s="71"/>
      <c r="AT43" s="71"/>
      <c r="AU43" s="71"/>
      <c r="AV43" s="71"/>
      <c r="AW43" s="71"/>
      <c r="AX43" s="71"/>
      <c r="AY43" s="71"/>
      <c r="AZ43" s="71"/>
      <c r="BA43" s="71"/>
      <c r="BB43" s="71"/>
    </row>
    <row r="44" spans="1:54">
      <c r="A44" s="102" t="s">
        <v>114</v>
      </c>
      <c r="B44" s="115" t="s">
        <v>115</v>
      </c>
      <c r="C44" s="73">
        <v>45765</v>
      </c>
      <c r="D44" s="73">
        <v>45768</v>
      </c>
      <c r="E44" s="74" t="s">
        <v>64</v>
      </c>
      <c r="F44" s="89">
        <f t="shared" si="0"/>
        <v>4</v>
      </c>
      <c r="G44" s="86">
        <f t="shared" si="1"/>
        <v>0</v>
      </c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71"/>
      <c r="S44" s="71"/>
      <c r="T44" s="71"/>
      <c r="U44" s="71"/>
      <c r="V44" s="71"/>
      <c r="W44" s="71"/>
      <c r="X44" s="71"/>
      <c r="Y44" s="71"/>
      <c r="Z44" s="71"/>
      <c r="AA44" s="71"/>
      <c r="AB44" s="71"/>
      <c r="AC44" s="71"/>
      <c r="AD44" s="71"/>
      <c r="AE44" s="71"/>
      <c r="AF44" s="71"/>
      <c r="AG44" s="78"/>
      <c r="AH44" s="78"/>
      <c r="AI44" s="78"/>
      <c r="AJ44" s="78"/>
      <c r="AK44" s="71"/>
      <c r="AL44" s="71"/>
      <c r="AM44" s="71"/>
      <c r="AN44" s="71"/>
      <c r="AO44" s="71"/>
      <c r="AP44" s="104"/>
      <c r="AQ44" s="71"/>
      <c r="AR44" s="71"/>
      <c r="AS44" s="71"/>
      <c r="AT44" s="71"/>
      <c r="AU44" s="71"/>
      <c r="AV44" s="71"/>
      <c r="AW44" s="71"/>
      <c r="AX44" s="71"/>
      <c r="AY44" s="71"/>
      <c r="AZ44" s="71"/>
      <c r="BA44" s="71"/>
      <c r="BB44" s="71"/>
    </row>
    <row r="45" spans="1:54">
      <c r="A45" s="102" t="s">
        <v>116</v>
      </c>
      <c r="B45" s="115" t="s">
        <v>117</v>
      </c>
      <c r="C45" s="73">
        <v>45765</v>
      </c>
      <c r="D45" s="73">
        <v>45768</v>
      </c>
      <c r="E45" s="74" t="s">
        <v>95</v>
      </c>
      <c r="F45" s="89">
        <f t="shared" si="0"/>
        <v>4</v>
      </c>
      <c r="G45" s="86"/>
      <c r="H45" s="71"/>
      <c r="I45" s="71"/>
      <c r="J45" s="71"/>
      <c r="K45" s="71"/>
      <c r="L45" s="71"/>
      <c r="M45" s="71"/>
      <c r="N45" s="71"/>
      <c r="O45" s="71"/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  <c r="AF45" s="71"/>
      <c r="AG45" s="78"/>
      <c r="AH45" s="78"/>
      <c r="AI45" s="78"/>
      <c r="AJ45" s="78"/>
      <c r="AK45" s="71"/>
      <c r="AL45" s="71"/>
      <c r="AM45" s="71"/>
      <c r="AN45" s="71"/>
      <c r="AO45" s="71"/>
      <c r="AP45" s="104"/>
      <c r="AQ45" s="71"/>
      <c r="AR45" s="71"/>
      <c r="AS45" s="71"/>
      <c r="AT45" s="71"/>
      <c r="AU45" s="71"/>
      <c r="AV45" s="71"/>
      <c r="AW45" s="71"/>
      <c r="AX45" s="71"/>
      <c r="AY45" s="71"/>
      <c r="AZ45" s="71"/>
      <c r="BA45" s="71"/>
      <c r="BB45" s="71"/>
    </row>
    <row r="46" spans="1:54" ht="12.75" customHeight="1">
      <c r="A46" s="87">
        <v>5</v>
      </c>
      <c r="B46" s="87" t="s">
        <v>118</v>
      </c>
      <c r="C46" s="88">
        <v>45769</v>
      </c>
      <c r="D46" s="88">
        <v>45771</v>
      </c>
      <c r="E46" s="89"/>
      <c r="F46" s="89">
        <f t="shared" si="0"/>
        <v>3</v>
      </c>
      <c r="G46" s="90">
        <f t="shared" si="1"/>
        <v>0</v>
      </c>
      <c r="H46" s="71"/>
      <c r="I46" s="71"/>
      <c r="J46" s="71"/>
      <c r="K46" s="71"/>
      <c r="L46" s="71"/>
      <c r="M46" s="71"/>
      <c r="N46" s="71"/>
      <c r="O46" s="71"/>
      <c r="P46" s="71"/>
      <c r="Q46" s="71"/>
      <c r="R46" s="71"/>
      <c r="S46" s="71"/>
      <c r="T46" s="71"/>
      <c r="U46" s="71"/>
      <c r="V46" s="71"/>
      <c r="W46" s="71"/>
      <c r="X46" s="71"/>
      <c r="Y46" s="71"/>
      <c r="Z46" s="71"/>
      <c r="AA46" s="71"/>
      <c r="AB46" s="71"/>
      <c r="AC46" s="71"/>
      <c r="AD46" s="71"/>
      <c r="AE46" s="71"/>
      <c r="AF46" s="71"/>
      <c r="AG46" s="71"/>
      <c r="AH46" s="71"/>
      <c r="AI46" s="71"/>
      <c r="AJ46" s="71"/>
      <c r="AK46" s="78"/>
      <c r="AL46" s="78"/>
      <c r="AM46" s="78"/>
      <c r="AN46" s="104"/>
      <c r="AO46" s="104"/>
      <c r="AP46" s="104"/>
      <c r="AQ46" s="71"/>
      <c r="AR46" s="71"/>
      <c r="AS46" s="71"/>
      <c r="AT46" s="71"/>
      <c r="AU46" s="71"/>
      <c r="AV46" s="71"/>
      <c r="AW46" s="71"/>
      <c r="AX46" s="71"/>
      <c r="AY46" s="71"/>
      <c r="AZ46" s="71"/>
      <c r="BA46" s="71"/>
      <c r="BB46" s="71"/>
    </row>
    <row r="47" spans="1:54" ht="12.75" customHeight="1">
      <c r="A47" s="100">
        <v>5.0999999999999996</v>
      </c>
      <c r="B47" s="94" t="s">
        <v>119</v>
      </c>
      <c r="C47" s="95">
        <v>45769</v>
      </c>
      <c r="D47" s="95">
        <v>45770</v>
      </c>
      <c r="E47" s="96"/>
      <c r="F47" s="89">
        <f t="shared" si="0"/>
        <v>2</v>
      </c>
      <c r="G47" s="90">
        <f t="shared" si="1"/>
        <v>0</v>
      </c>
      <c r="H47" s="71"/>
      <c r="I47" s="71"/>
      <c r="J47" s="71"/>
      <c r="K47" s="71"/>
      <c r="L47" s="71"/>
      <c r="M47" s="71"/>
      <c r="N47" s="71"/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  <c r="AA47" s="71"/>
      <c r="AB47" s="71"/>
      <c r="AC47" s="71"/>
      <c r="AD47" s="71"/>
      <c r="AE47" s="71"/>
      <c r="AF47" s="71"/>
      <c r="AG47" s="71"/>
      <c r="AH47" s="71"/>
      <c r="AI47" s="71"/>
      <c r="AJ47" s="71"/>
      <c r="AK47" s="78"/>
      <c r="AL47" s="78"/>
      <c r="AM47" s="71"/>
      <c r="AN47" s="71"/>
      <c r="AO47" s="71"/>
      <c r="AP47" s="104"/>
      <c r="AQ47" s="71"/>
      <c r="AR47" s="71"/>
      <c r="AS47" s="71"/>
      <c r="AT47" s="71"/>
      <c r="AU47" s="71"/>
      <c r="AV47" s="71"/>
      <c r="AW47" s="71"/>
      <c r="AX47" s="71"/>
      <c r="AY47" s="71"/>
      <c r="AZ47" s="71"/>
      <c r="BA47" s="71"/>
      <c r="BB47" s="71"/>
    </row>
    <row r="48" spans="1:54">
      <c r="A48" s="81" t="s">
        <v>120</v>
      </c>
      <c r="B48" s="82" t="s">
        <v>121</v>
      </c>
      <c r="C48" s="73">
        <v>45769</v>
      </c>
      <c r="D48" s="73">
        <v>45770</v>
      </c>
      <c r="E48" s="74" t="s">
        <v>55</v>
      </c>
      <c r="F48" s="89">
        <f t="shared" si="0"/>
        <v>2</v>
      </c>
      <c r="G48" s="86">
        <f t="shared" si="1"/>
        <v>0</v>
      </c>
      <c r="H48" s="71"/>
      <c r="I48" s="71"/>
      <c r="J48" s="71"/>
      <c r="K48" s="71"/>
      <c r="L48" s="71"/>
      <c r="M48" s="71"/>
      <c r="N48" s="71"/>
      <c r="O48" s="71"/>
      <c r="P48" s="71"/>
      <c r="Q48" s="71"/>
      <c r="R48" s="71"/>
      <c r="S48" s="71"/>
      <c r="T48" s="71"/>
      <c r="U48" s="71"/>
      <c r="V48" s="71"/>
      <c r="W48" s="71"/>
      <c r="X48" s="71"/>
      <c r="Y48" s="71"/>
      <c r="Z48" s="71"/>
      <c r="AA48" s="71"/>
      <c r="AB48" s="71"/>
      <c r="AC48" s="71"/>
      <c r="AD48" s="71"/>
      <c r="AE48" s="71"/>
      <c r="AF48" s="71"/>
      <c r="AG48" s="71"/>
      <c r="AH48" s="71"/>
      <c r="AI48" s="71"/>
      <c r="AJ48" s="71"/>
      <c r="AK48" s="78"/>
      <c r="AL48" s="78"/>
      <c r="AM48" s="71"/>
      <c r="AN48" s="71"/>
      <c r="AO48" s="71"/>
      <c r="AP48" s="104"/>
      <c r="AQ48" s="71"/>
      <c r="AR48" s="71"/>
      <c r="AS48" s="71"/>
      <c r="AT48" s="71"/>
      <c r="AU48" s="71"/>
      <c r="AV48" s="71"/>
      <c r="AW48" s="71"/>
      <c r="AX48" s="71"/>
      <c r="AY48" s="71"/>
      <c r="AZ48" s="71"/>
      <c r="BA48" s="71"/>
      <c r="BB48" s="71"/>
    </row>
    <row r="49" spans="1:54">
      <c r="A49" s="29" t="s">
        <v>122</v>
      </c>
      <c r="B49" s="83" t="s">
        <v>123</v>
      </c>
      <c r="C49" s="73">
        <v>45769</v>
      </c>
      <c r="D49" s="73">
        <v>45770</v>
      </c>
      <c r="E49" s="74" t="s">
        <v>55</v>
      </c>
      <c r="F49" s="89">
        <f t="shared" si="0"/>
        <v>2</v>
      </c>
      <c r="G49" s="86">
        <f t="shared" si="1"/>
        <v>0</v>
      </c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  <c r="AH49" s="71"/>
      <c r="AI49" s="71"/>
      <c r="AJ49" s="71"/>
      <c r="AK49" s="78"/>
      <c r="AL49" s="78"/>
      <c r="AM49" s="71"/>
      <c r="AN49" s="71"/>
      <c r="AO49" s="71"/>
      <c r="AP49" s="104"/>
      <c r="AQ49" s="71"/>
      <c r="AR49" s="71"/>
      <c r="AS49" s="71"/>
      <c r="AT49" s="71"/>
      <c r="AU49" s="71"/>
      <c r="AV49" s="71"/>
      <c r="AW49" s="71"/>
      <c r="AX49" s="71"/>
      <c r="AY49" s="71"/>
      <c r="AZ49" s="71"/>
      <c r="BA49" s="71"/>
      <c r="BB49" s="71"/>
    </row>
    <row r="50" spans="1:54">
      <c r="A50" s="29" t="s">
        <v>124</v>
      </c>
      <c r="B50" s="106" t="s">
        <v>125</v>
      </c>
      <c r="C50" s="73">
        <v>45769</v>
      </c>
      <c r="D50" s="73">
        <v>45770</v>
      </c>
      <c r="E50" s="84" t="s">
        <v>60</v>
      </c>
      <c r="F50" s="89">
        <f t="shared" si="0"/>
        <v>2</v>
      </c>
      <c r="G50" s="86">
        <f t="shared" si="1"/>
        <v>0</v>
      </c>
      <c r="H50" s="71"/>
      <c r="I50" s="71"/>
      <c r="J50" s="71"/>
      <c r="K50" s="71"/>
      <c r="L50" s="71"/>
      <c r="M50" s="71"/>
      <c r="N50" s="71"/>
      <c r="O50" s="71"/>
      <c r="P50" s="71"/>
      <c r="Q50" s="71"/>
      <c r="R50" s="71"/>
      <c r="S50" s="71"/>
      <c r="T50" s="71"/>
      <c r="U50" s="71"/>
      <c r="V50" s="71"/>
      <c r="W50" s="71"/>
      <c r="X50" s="71"/>
      <c r="Y50" s="71"/>
      <c r="Z50" s="71"/>
      <c r="AA50" s="71"/>
      <c r="AB50" s="71"/>
      <c r="AC50" s="71"/>
      <c r="AD50" s="71"/>
      <c r="AE50" s="71"/>
      <c r="AF50" s="71"/>
      <c r="AG50" s="71"/>
      <c r="AH50" s="71"/>
      <c r="AI50" s="71"/>
      <c r="AJ50" s="71"/>
      <c r="AK50" s="78"/>
      <c r="AL50" s="78"/>
      <c r="AM50" s="71"/>
      <c r="AN50" s="71"/>
      <c r="AO50" s="71"/>
      <c r="AP50" s="104"/>
      <c r="AQ50" s="71"/>
      <c r="AR50" s="71"/>
      <c r="AS50" s="71"/>
      <c r="AT50" s="71"/>
      <c r="AU50" s="71"/>
      <c r="AV50" s="71"/>
      <c r="AW50" s="71"/>
      <c r="AX50" s="71"/>
      <c r="AY50" s="71"/>
      <c r="AZ50" s="71"/>
      <c r="BA50" s="71"/>
      <c r="BB50" s="71"/>
    </row>
    <row r="51" spans="1:54">
      <c r="A51" s="26" t="s">
        <v>126</v>
      </c>
      <c r="B51" s="26" t="s">
        <v>127</v>
      </c>
      <c r="C51" s="73">
        <v>45769</v>
      </c>
      <c r="D51" s="73">
        <v>45771</v>
      </c>
      <c r="E51" s="84" t="s">
        <v>95</v>
      </c>
      <c r="F51" s="89">
        <f>D51-C51+1</f>
        <v>3</v>
      </c>
      <c r="G51" s="86"/>
      <c r="H51" s="71"/>
      <c r="I51" s="71"/>
      <c r="J51" s="71"/>
      <c r="K51" s="71"/>
      <c r="L51" s="71"/>
      <c r="M51" s="71"/>
      <c r="N51" s="71"/>
      <c r="O51" s="71"/>
      <c r="P51" s="71"/>
      <c r="Q51" s="71"/>
      <c r="R51" s="71"/>
      <c r="S51" s="71"/>
      <c r="T51" s="71"/>
      <c r="U51" s="71"/>
      <c r="V51" s="71"/>
      <c r="W51" s="71"/>
      <c r="X51" s="71"/>
      <c r="Y51" s="71"/>
      <c r="Z51" s="71"/>
      <c r="AA51" s="71"/>
      <c r="AB51" s="71"/>
      <c r="AC51" s="71"/>
      <c r="AD51" s="71"/>
      <c r="AE51" s="71"/>
      <c r="AF51" s="71"/>
      <c r="AG51" s="71"/>
      <c r="AH51" s="71"/>
      <c r="AI51" s="71"/>
      <c r="AJ51" s="71"/>
      <c r="AK51" s="78"/>
      <c r="AL51" s="78"/>
      <c r="AM51" s="78"/>
      <c r="AN51" s="71"/>
      <c r="AO51" s="71"/>
      <c r="AP51" s="104"/>
      <c r="AQ51" s="71"/>
      <c r="AR51" s="71"/>
      <c r="AS51" s="71"/>
      <c r="AT51" s="71"/>
      <c r="AU51" s="71"/>
      <c r="AV51" s="71"/>
      <c r="AW51" s="71"/>
      <c r="AX51" s="71"/>
      <c r="AY51" s="71"/>
      <c r="AZ51" s="71"/>
      <c r="BA51" s="71"/>
      <c r="BB51" s="71"/>
    </row>
    <row r="52" spans="1:54">
      <c r="A52" s="26" t="s">
        <v>128</v>
      </c>
      <c r="B52" s="26" t="s">
        <v>129</v>
      </c>
      <c r="C52" s="73">
        <v>45770</v>
      </c>
      <c r="D52" s="73">
        <v>45770</v>
      </c>
      <c r="E52" s="84" t="s">
        <v>64</v>
      </c>
      <c r="F52" s="89">
        <f t="shared" si="0"/>
        <v>1</v>
      </c>
      <c r="G52" s="86"/>
      <c r="H52" s="71"/>
      <c r="I52" s="71"/>
      <c r="J52" s="71"/>
      <c r="K52" s="71"/>
      <c r="L52" s="71"/>
      <c r="M52" s="71"/>
      <c r="N52" s="71"/>
      <c r="O52" s="71"/>
      <c r="P52" s="71"/>
      <c r="Q52" s="71"/>
      <c r="R52" s="71"/>
      <c r="S52" s="71"/>
      <c r="T52" s="71"/>
      <c r="U52" s="71"/>
      <c r="V52" s="71"/>
      <c r="W52" s="71"/>
      <c r="X52" s="71"/>
      <c r="Y52" s="71"/>
      <c r="Z52" s="71"/>
      <c r="AA52" s="71"/>
      <c r="AB52" s="71"/>
      <c r="AC52" s="71"/>
      <c r="AD52" s="71"/>
      <c r="AE52" s="71"/>
      <c r="AF52" s="71"/>
      <c r="AG52" s="71"/>
      <c r="AH52" s="71"/>
      <c r="AI52" s="71"/>
      <c r="AJ52" s="71"/>
      <c r="AK52" s="71"/>
      <c r="AL52" s="78"/>
      <c r="AM52" s="71"/>
      <c r="AN52" s="71"/>
      <c r="AO52" s="71"/>
      <c r="AP52" s="104"/>
      <c r="AQ52" s="71"/>
      <c r="AR52" s="71"/>
      <c r="AS52" s="71"/>
      <c r="AT52" s="71"/>
      <c r="AU52" s="71"/>
      <c r="AV52" s="71"/>
      <c r="AW52" s="71"/>
      <c r="AX52" s="71"/>
      <c r="AY52" s="71"/>
      <c r="AZ52" s="71"/>
      <c r="BA52" s="71"/>
      <c r="BB52" s="71"/>
    </row>
    <row r="53" spans="1:54" ht="12" customHeight="1">
      <c r="A53" s="100">
        <v>5.2</v>
      </c>
      <c r="B53" s="94" t="s">
        <v>130</v>
      </c>
      <c r="C53" s="95">
        <v>45770</v>
      </c>
      <c r="D53" s="95">
        <v>45773</v>
      </c>
      <c r="E53" s="96"/>
      <c r="F53" s="89">
        <f t="shared" si="0"/>
        <v>4</v>
      </c>
      <c r="G53" s="86">
        <f t="shared" si="1"/>
        <v>0</v>
      </c>
      <c r="H53" s="71"/>
      <c r="I53" s="71"/>
      <c r="J53" s="71"/>
      <c r="K53" s="71"/>
      <c r="L53" s="71"/>
      <c r="M53" s="71"/>
      <c r="N53" s="71"/>
      <c r="O53" s="71"/>
      <c r="P53" s="71"/>
      <c r="Q53" s="71"/>
      <c r="R53" s="71"/>
      <c r="S53" s="71"/>
      <c r="T53" s="71"/>
      <c r="U53" s="71"/>
      <c r="V53" s="71"/>
      <c r="W53" s="71"/>
      <c r="X53" s="71"/>
      <c r="Y53" s="71"/>
      <c r="Z53" s="71"/>
      <c r="AA53" s="71"/>
      <c r="AB53" s="71"/>
      <c r="AC53" s="71"/>
      <c r="AD53" s="71"/>
      <c r="AE53" s="71"/>
      <c r="AF53" s="71"/>
      <c r="AG53" s="71"/>
      <c r="AH53" s="71"/>
      <c r="AI53" s="71"/>
      <c r="AJ53" s="71"/>
      <c r="AK53" s="71"/>
      <c r="AL53" s="78"/>
      <c r="AM53" s="78"/>
      <c r="AN53" s="78"/>
      <c r="AO53" s="78"/>
      <c r="AP53" s="104"/>
      <c r="AQ53" s="71"/>
      <c r="AR53" s="71"/>
      <c r="AS53" s="71"/>
      <c r="AT53" s="71"/>
      <c r="AU53" s="71"/>
      <c r="AV53" s="71"/>
      <c r="AW53" s="71"/>
      <c r="AX53" s="71"/>
      <c r="AY53" s="71"/>
      <c r="AZ53" s="71"/>
      <c r="BA53" s="71"/>
      <c r="BB53" s="71"/>
    </row>
    <row r="54" spans="1:54">
      <c r="A54" s="81" t="s">
        <v>131</v>
      </c>
      <c r="B54" s="82" t="s">
        <v>132</v>
      </c>
      <c r="C54" s="73">
        <v>45770</v>
      </c>
      <c r="D54" s="73">
        <v>45771</v>
      </c>
      <c r="E54" s="84" t="s">
        <v>60</v>
      </c>
      <c r="F54" s="89">
        <f t="shared" si="0"/>
        <v>2</v>
      </c>
      <c r="G54" s="86">
        <f t="shared" si="1"/>
        <v>0</v>
      </c>
      <c r="H54" s="71"/>
      <c r="I54" s="71"/>
      <c r="J54" s="71"/>
      <c r="K54" s="71"/>
      <c r="L54" s="71"/>
      <c r="M54" s="71"/>
      <c r="N54" s="71"/>
      <c r="O54" s="71"/>
      <c r="P54" s="71"/>
      <c r="Q54" s="71"/>
      <c r="R54" s="71"/>
      <c r="S54" s="71"/>
      <c r="T54" s="71"/>
      <c r="U54" s="71"/>
      <c r="V54" s="71"/>
      <c r="W54" s="71"/>
      <c r="X54" s="71"/>
      <c r="Y54" s="71"/>
      <c r="Z54" s="71"/>
      <c r="AA54" s="71"/>
      <c r="AB54" s="71"/>
      <c r="AC54" s="71"/>
      <c r="AD54" s="71"/>
      <c r="AE54" s="71"/>
      <c r="AF54" s="71"/>
      <c r="AG54" s="71"/>
      <c r="AH54" s="71"/>
      <c r="AI54" s="71"/>
      <c r="AJ54" s="71"/>
      <c r="AK54" s="71"/>
      <c r="AL54" s="78"/>
      <c r="AM54" s="78"/>
      <c r="AN54" s="71"/>
      <c r="AO54" s="71"/>
      <c r="AP54" s="104"/>
      <c r="AQ54" s="71"/>
      <c r="AR54" s="71"/>
      <c r="AS54" s="71"/>
      <c r="AT54" s="71"/>
      <c r="AU54" s="71"/>
      <c r="AV54" s="71"/>
      <c r="AW54" s="71"/>
      <c r="AX54" s="71"/>
      <c r="AY54" s="71"/>
      <c r="AZ54" s="71"/>
      <c r="BA54" s="71"/>
      <c r="BB54" s="71"/>
    </row>
    <row r="55" spans="1:54">
      <c r="A55" s="29" t="s">
        <v>133</v>
      </c>
      <c r="B55" s="83" t="s">
        <v>74</v>
      </c>
      <c r="C55" s="73">
        <v>45772</v>
      </c>
      <c r="D55" s="73">
        <v>45772</v>
      </c>
      <c r="E55" s="84" t="s">
        <v>60</v>
      </c>
      <c r="F55" s="89">
        <f t="shared" si="0"/>
        <v>1</v>
      </c>
      <c r="G55" s="86">
        <f t="shared" si="1"/>
        <v>0</v>
      </c>
      <c r="H55" s="71"/>
      <c r="I55" s="71"/>
      <c r="J55" s="71"/>
      <c r="K55" s="71"/>
      <c r="L55" s="71"/>
      <c r="M55" s="71"/>
      <c r="N55" s="71"/>
      <c r="O55" s="71"/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71"/>
      <c r="AA55" s="71"/>
      <c r="AB55" s="71"/>
      <c r="AC55" s="71"/>
      <c r="AD55" s="71"/>
      <c r="AE55" s="71"/>
      <c r="AF55" s="71"/>
      <c r="AG55" s="71"/>
      <c r="AH55" s="71"/>
      <c r="AI55" s="71"/>
      <c r="AJ55" s="71"/>
      <c r="AK55" s="71"/>
      <c r="AL55" s="71"/>
      <c r="AM55" s="71"/>
      <c r="AN55" s="78"/>
      <c r="AO55" s="71"/>
      <c r="AP55" s="104"/>
      <c r="AQ55" s="71"/>
      <c r="AR55" s="71"/>
      <c r="AS55" s="71"/>
      <c r="AT55" s="71"/>
      <c r="AU55" s="71"/>
      <c r="AV55" s="71"/>
      <c r="AW55" s="71"/>
      <c r="AX55" s="71"/>
      <c r="AY55" s="71"/>
      <c r="AZ55" s="71"/>
      <c r="BA55" s="71"/>
      <c r="BB55" s="71"/>
    </row>
    <row r="56" spans="1:54">
      <c r="A56" s="29" t="s">
        <v>134</v>
      </c>
      <c r="B56" s="83" t="s">
        <v>135</v>
      </c>
      <c r="C56" s="73">
        <v>45772</v>
      </c>
      <c r="D56" s="73">
        <v>45772</v>
      </c>
      <c r="E56" s="84" t="s">
        <v>95</v>
      </c>
      <c r="F56" s="89">
        <f t="shared" si="0"/>
        <v>1</v>
      </c>
      <c r="G56" s="86"/>
      <c r="H56" s="71"/>
      <c r="I56" s="71"/>
      <c r="J56" s="71"/>
      <c r="K56" s="71"/>
      <c r="L56" s="71"/>
      <c r="M56" s="71"/>
      <c r="N56" s="71"/>
      <c r="O56" s="71"/>
      <c r="P56" s="71"/>
      <c r="Q56" s="71"/>
      <c r="R56" s="71"/>
      <c r="S56" s="71"/>
      <c r="T56" s="71"/>
      <c r="U56" s="71"/>
      <c r="V56" s="71"/>
      <c r="W56" s="71"/>
      <c r="X56" s="71"/>
      <c r="Y56" s="71"/>
      <c r="Z56" s="71"/>
      <c r="AA56" s="71"/>
      <c r="AB56" s="71"/>
      <c r="AC56" s="71"/>
      <c r="AD56" s="71"/>
      <c r="AE56" s="71"/>
      <c r="AF56" s="71"/>
      <c r="AG56" s="71"/>
      <c r="AH56" s="71"/>
      <c r="AI56" s="71"/>
      <c r="AJ56" s="71"/>
      <c r="AK56" s="71"/>
      <c r="AL56" s="71"/>
      <c r="AM56" s="71"/>
      <c r="AN56" s="78"/>
      <c r="AO56" s="71"/>
      <c r="AP56" s="104"/>
      <c r="AQ56" s="71"/>
      <c r="AR56" s="71"/>
      <c r="AS56" s="71"/>
      <c r="AT56" s="71"/>
      <c r="AU56" s="71"/>
      <c r="AV56" s="71"/>
      <c r="AW56" s="71"/>
      <c r="AX56" s="71"/>
      <c r="AY56" s="71"/>
      <c r="AZ56" s="71"/>
      <c r="BA56" s="71"/>
      <c r="BB56" s="71"/>
    </row>
    <row r="57" spans="1:54">
      <c r="A57" s="29" t="s">
        <v>136</v>
      </c>
      <c r="B57" s="83" t="s">
        <v>137</v>
      </c>
      <c r="C57" s="73">
        <v>45773</v>
      </c>
      <c r="D57" s="73">
        <v>45773</v>
      </c>
      <c r="E57" s="84" t="s">
        <v>60</v>
      </c>
      <c r="F57" s="89">
        <f t="shared" si="0"/>
        <v>1</v>
      </c>
      <c r="G57" s="86">
        <f t="shared" si="1"/>
        <v>0</v>
      </c>
      <c r="H57" s="71"/>
      <c r="I57" s="71"/>
      <c r="J57" s="71"/>
      <c r="K57" s="71"/>
      <c r="L57" s="71"/>
      <c r="M57" s="71"/>
      <c r="N57" s="71"/>
      <c r="O57" s="71"/>
      <c r="P57" s="71"/>
      <c r="Q57" s="71"/>
      <c r="R57" s="71"/>
      <c r="S57" s="71"/>
      <c r="T57" s="71"/>
      <c r="U57" s="71"/>
      <c r="V57" s="71"/>
      <c r="W57" s="71"/>
      <c r="X57" s="71"/>
      <c r="Y57" s="71"/>
      <c r="Z57" s="71"/>
      <c r="AA57" s="71"/>
      <c r="AB57" s="71"/>
      <c r="AC57" s="71"/>
      <c r="AD57" s="71"/>
      <c r="AE57" s="71"/>
      <c r="AF57" s="71"/>
      <c r="AG57" s="71"/>
      <c r="AH57" s="71"/>
      <c r="AI57" s="71"/>
      <c r="AJ57" s="71"/>
      <c r="AK57" s="71"/>
      <c r="AL57" s="71"/>
      <c r="AM57" s="71"/>
      <c r="AN57" s="71"/>
      <c r="AO57" s="78"/>
      <c r="AP57" s="104"/>
      <c r="AQ57" s="71"/>
      <c r="AR57" s="71"/>
      <c r="AS57" s="71"/>
      <c r="AT57" s="71"/>
      <c r="AU57" s="71"/>
      <c r="AV57" s="71"/>
      <c r="AW57" s="71"/>
      <c r="AX57" s="71"/>
      <c r="AY57" s="71"/>
      <c r="AZ57" s="71"/>
      <c r="BA57" s="71"/>
      <c r="BB57" s="71"/>
    </row>
    <row r="58" spans="1:54" ht="12" customHeight="1">
      <c r="A58" s="100">
        <v>5.3</v>
      </c>
      <c r="B58" s="94" t="s">
        <v>138</v>
      </c>
      <c r="C58" s="95">
        <v>45769</v>
      </c>
      <c r="D58" s="95">
        <v>45773</v>
      </c>
      <c r="E58" s="96"/>
      <c r="F58" s="89">
        <f t="shared" si="0"/>
        <v>5</v>
      </c>
      <c r="G58" s="86">
        <f t="shared" si="1"/>
        <v>0</v>
      </c>
      <c r="H58" s="71"/>
      <c r="I58" s="71"/>
      <c r="J58" s="71"/>
      <c r="K58" s="71"/>
      <c r="L58" s="71"/>
      <c r="M58" s="71"/>
      <c r="N58" s="71"/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  <c r="AA58" s="71"/>
      <c r="AB58" s="71"/>
      <c r="AC58" s="71"/>
      <c r="AD58" s="71"/>
      <c r="AE58" s="71"/>
      <c r="AF58" s="71"/>
      <c r="AG58" s="71"/>
      <c r="AH58" s="71"/>
      <c r="AI58" s="71"/>
      <c r="AJ58" s="71"/>
      <c r="AK58" s="78"/>
      <c r="AL58" s="78"/>
      <c r="AM58" s="78"/>
      <c r="AN58" s="78"/>
      <c r="AO58" s="78"/>
      <c r="AP58" s="78"/>
      <c r="AQ58" s="78"/>
      <c r="AR58" s="78"/>
      <c r="AS58" s="78"/>
      <c r="AT58" s="78"/>
      <c r="AU58" s="78"/>
      <c r="AV58" s="78"/>
      <c r="AW58" s="78"/>
      <c r="AX58" s="78"/>
      <c r="AY58" s="78"/>
      <c r="AZ58" s="78"/>
      <c r="BA58" s="78"/>
      <c r="BB58" s="78"/>
    </row>
    <row r="59" spans="1:54">
      <c r="A59" s="81" t="s">
        <v>139</v>
      </c>
      <c r="B59" s="82" t="s">
        <v>140</v>
      </c>
      <c r="C59" s="73">
        <v>45770</v>
      </c>
      <c r="D59" s="73">
        <v>45771</v>
      </c>
      <c r="E59" s="84" t="s">
        <v>55</v>
      </c>
      <c r="F59" s="89">
        <f t="shared" si="0"/>
        <v>2</v>
      </c>
      <c r="G59" s="86">
        <f t="shared" si="1"/>
        <v>0</v>
      </c>
      <c r="H59" s="71"/>
      <c r="I59" s="71"/>
      <c r="J59" s="71"/>
      <c r="K59" s="71"/>
      <c r="L59" s="71"/>
      <c r="M59" s="71"/>
      <c r="N59" s="71"/>
      <c r="O59" s="71"/>
      <c r="P59" s="71"/>
      <c r="Q59" s="71"/>
      <c r="R59" s="71"/>
      <c r="S59" s="71"/>
      <c r="T59" s="71"/>
      <c r="U59" s="71"/>
      <c r="V59" s="71"/>
      <c r="W59" s="71"/>
      <c r="X59" s="71"/>
      <c r="Y59" s="71"/>
      <c r="Z59" s="71"/>
      <c r="AA59" s="71"/>
      <c r="AB59" s="71"/>
      <c r="AC59" s="71"/>
      <c r="AD59" s="71"/>
      <c r="AE59" s="71"/>
      <c r="AF59" s="71"/>
      <c r="AG59" s="71"/>
      <c r="AH59" s="71"/>
      <c r="AI59" s="71"/>
      <c r="AJ59" s="71"/>
      <c r="AK59" s="71"/>
      <c r="AL59" s="78"/>
      <c r="AM59" s="78"/>
      <c r="AN59" s="71"/>
      <c r="AO59" s="71"/>
      <c r="AP59" s="104"/>
      <c r="AQ59" s="71"/>
      <c r="AR59" s="71"/>
      <c r="AS59" s="71"/>
      <c r="AT59" s="71"/>
      <c r="AU59" s="71"/>
      <c r="AV59" s="71"/>
      <c r="AW59" s="71"/>
      <c r="AX59" s="71"/>
      <c r="AY59" s="71"/>
      <c r="AZ59" s="71"/>
      <c r="BA59" s="71"/>
      <c r="BB59" s="71"/>
    </row>
    <row r="60" spans="1:54">
      <c r="A60" s="29" t="s">
        <v>141</v>
      </c>
      <c r="B60" s="83" t="s">
        <v>74</v>
      </c>
      <c r="C60" s="73">
        <v>45772</v>
      </c>
      <c r="D60" s="73">
        <v>45772</v>
      </c>
      <c r="E60" s="84" t="s">
        <v>55</v>
      </c>
      <c r="F60" s="89">
        <f t="shared" si="0"/>
        <v>1</v>
      </c>
      <c r="G60" s="86">
        <f t="shared" si="1"/>
        <v>0</v>
      </c>
      <c r="H60" s="71"/>
      <c r="I60" s="71"/>
      <c r="J60" s="71"/>
      <c r="K60" s="71"/>
      <c r="L60" s="71"/>
      <c r="M60" s="71"/>
      <c r="N60" s="71"/>
      <c r="O60" s="71"/>
      <c r="P60" s="71"/>
      <c r="Q60" s="71"/>
      <c r="R60" s="71"/>
      <c r="S60" s="71"/>
      <c r="T60" s="71"/>
      <c r="U60" s="71"/>
      <c r="V60" s="71"/>
      <c r="W60" s="71"/>
      <c r="X60" s="71"/>
      <c r="Y60" s="71"/>
      <c r="Z60" s="71"/>
      <c r="AA60" s="71"/>
      <c r="AB60" s="71"/>
      <c r="AC60" s="71"/>
      <c r="AD60" s="71"/>
      <c r="AE60" s="71"/>
      <c r="AF60" s="71"/>
      <c r="AG60" s="71"/>
      <c r="AH60" s="71"/>
      <c r="AI60" s="71"/>
      <c r="AJ60" s="71"/>
      <c r="AK60" s="71"/>
      <c r="AL60" s="71"/>
      <c r="AM60" s="71"/>
      <c r="AN60" s="78"/>
      <c r="AO60" s="71"/>
      <c r="AP60" s="104"/>
      <c r="AQ60" s="71"/>
      <c r="AR60" s="71"/>
      <c r="AS60" s="71"/>
      <c r="AT60" s="71"/>
      <c r="AU60" s="71"/>
      <c r="AV60" s="71"/>
      <c r="AW60" s="71"/>
      <c r="AX60" s="71"/>
      <c r="AY60" s="71"/>
      <c r="AZ60" s="71"/>
      <c r="BA60" s="71"/>
      <c r="BB60" s="71"/>
    </row>
    <row r="61" spans="1:54">
      <c r="A61" s="108" t="s">
        <v>142</v>
      </c>
      <c r="B61" s="109" t="s">
        <v>143</v>
      </c>
      <c r="C61" s="110">
        <v>45773</v>
      </c>
      <c r="D61" s="110">
        <v>45773</v>
      </c>
      <c r="E61" s="84" t="s">
        <v>55</v>
      </c>
      <c r="F61" s="89">
        <f t="shared" si="0"/>
        <v>1</v>
      </c>
      <c r="G61" s="86">
        <f t="shared" si="1"/>
        <v>0</v>
      </c>
      <c r="H61" s="71"/>
      <c r="I61" s="71"/>
      <c r="J61" s="71"/>
      <c r="K61" s="71"/>
      <c r="L61" s="71"/>
      <c r="M61" s="71"/>
      <c r="N61" s="71"/>
      <c r="O61" s="71"/>
      <c r="P61" s="71"/>
      <c r="Q61" s="71"/>
      <c r="R61" s="71"/>
      <c r="S61" s="71"/>
      <c r="T61" s="71"/>
      <c r="U61" s="71"/>
      <c r="V61" s="71"/>
      <c r="W61" s="71"/>
      <c r="X61" s="71"/>
      <c r="Y61" s="71"/>
      <c r="Z61" s="71"/>
      <c r="AA61" s="71"/>
      <c r="AB61" s="71"/>
      <c r="AC61" s="71"/>
      <c r="AD61" s="71"/>
      <c r="AE61" s="71"/>
      <c r="AF61" s="71"/>
      <c r="AG61" s="71"/>
      <c r="AH61" s="71"/>
      <c r="AI61" s="71"/>
      <c r="AJ61" s="71"/>
      <c r="AK61" s="71"/>
      <c r="AL61" s="71"/>
      <c r="AM61" s="71"/>
      <c r="AN61" s="71"/>
      <c r="AO61" s="78"/>
      <c r="AP61" s="104"/>
      <c r="AQ61" s="71"/>
      <c r="AR61" s="71"/>
      <c r="AS61" s="71"/>
      <c r="AT61" s="71"/>
      <c r="AU61" s="71"/>
      <c r="AV61" s="71"/>
      <c r="AW61" s="71"/>
      <c r="AX61" s="71"/>
      <c r="AY61" s="71"/>
      <c r="AZ61" s="71"/>
      <c r="BA61" s="71"/>
      <c r="BB61" s="71"/>
    </row>
    <row r="62" spans="1:54">
      <c r="A62" s="101" t="s">
        <v>144</v>
      </c>
      <c r="B62" s="71" t="s">
        <v>145</v>
      </c>
      <c r="C62" s="73">
        <v>45775</v>
      </c>
      <c r="D62" s="73">
        <v>45775</v>
      </c>
      <c r="E62" s="107" t="s">
        <v>95</v>
      </c>
      <c r="F62" s="89">
        <f t="shared" si="0"/>
        <v>1</v>
      </c>
      <c r="G62" s="86">
        <f t="shared" ref="G62:G63" si="2">SUM(H62:AQ62)/F62</f>
        <v>0</v>
      </c>
      <c r="H62" s="71"/>
      <c r="I62" s="71"/>
      <c r="J62" s="71"/>
      <c r="K62" s="71"/>
      <c r="L62" s="71"/>
      <c r="M62" s="71"/>
      <c r="N62" s="71"/>
      <c r="O62" s="71"/>
      <c r="P62" s="71"/>
      <c r="Q62" s="71"/>
      <c r="R62" s="71"/>
      <c r="S62" s="71"/>
      <c r="T62" s="71"/>
      <c r="U62" s="71"/>
      <c r="V62" s="71"/>
      <c r="W62" s="71"/>
      <c r="X62" s="71"/>
      <c r="Y62" s="71"/>
      <c r="Z62" s="71"/>
      <c r="AA62" s="71"/>
      <c r="AB62" s="71"/>
      <c r="AC62" s="71"/>
      <c r="AD62" s="71"/>
      <c r="AE62" s="71"/>
      <c r="AF62" s="71"/>
      <c r="AG62" s="71"/>
      <c r="AH62" s="71"/>
      <c r="AI62" s="71"/>
      <c r="AJ62" s="71"/>
      <c r="AK62" s="71"/>
      <c r="AL62" s="71"/>
      <c r="AM62" s="71"/>
      <c r="AN62" s="71"/>
      <c r="AO62" s="71"/>
      <c r="AP62" s="104"/>
      <c r="AQ62" s="78"/>
      <c r="AR62" s="71"/>
      <c r="AS62" s="71"/>
      <c r="AT62" s="71"/>
      <c r="AU62" s="71"/>
      <c r="AV62" s="71"/>
      <c r="AW62" s="71"/>
      <c r="AX62" s="71"/>
      <c r="AY62" s="71"/>
      <c r="AZ62" s="71"/>
      <c r="BA62" s="71"/>
      <c r="BB62" s="71"/>
    </row>
    <row r="63" spans="1:54">
      <c r="A63" s="101" t="s">
        <v>146</v>
      </c>
      <c r="B63" s="71" t="s">
        <v>147</v>
      </c>
      <c r="C63" s="111">
        <v>45786</v>
      </c>
      <c r="D63" s="111">
        <v>45786</v>
      </c>
      <c r="E63" s="107" t="s">
        <v>95</v>
      </c>
      <c r="F63" s="89">
        <f t="shared" si="0"/>
        <v>1</v>
      </c>
      <c r="G63" s="86">
        <f t="shared" si="2"/>
        <v>0</v>
      </c>
      <c r="H63" s="71"/>
      <c r="I63" s="71"/>
      <c r="J63" s="71"/>
      <c r="K63" s="71"/>
      <c r="L63" s="71"/>
      <c r="M63" s="71"/>
      <c r="N63" s="71"/>
      <c r="O63" s="71"/>
      <c r="P63" s="71"/>
      <c r="Q63" s="71"/>
      <c r="R63" s="71"/>
      <c r="S63" s="71"/>
      <c r="T63" s="71"/>
      <c r="U63" s="71"/>
      <c r="V63" s="71"/>
      <c r="W63" s="71"/>
      <c r="X63" s="71"/>
      <c r="Y63" s="71"/>
      <c r="Z63" s="71"/>
      <c r="AA63" s="71"/>
      <c r="AB63" s="71"/>
      <c r="AC63" s="71"/>
      <c r="AD63" s="71"/>
      <c r="AE63" s="71"/>
      <c r="AF63" s="71"/>
      <c r="AG63" s="71"/>
      <c r="AH63" s="71"/>
      <c r="AI63" s="71"/>
      <c r="AJ63" s="71"/>
      <c r="AK63" s="71"/>
      <c r="AL63" s="71"/>
      <c r="AM63" s="71"/>
      <c r="AN63" s="71"/>
      <c r="AO63" s="71"/>
      <c r="AP63" s="104"/>
      <c r="AQ63" s="71"/>
      <c r="AR63" s="71"/>
      <c r="AS63" s="71"/>
      <c r="AT63" s="71"/>
      <c r="AU63" s="71"/>
      <c r="AV63" s="71"/>
      <c r="AW63" s="71"/>
      <c r="AX63" s="71"/>
      <c r="AY63" s="71"/>
      <c r="AZ63" s="71"/>
      <c r="BA63" s="71"/>
      <c r="BB63" s="78"/>
    </row>
  </sheetData>
  <phoneticPr fontId="5" type="noConversion"/>
  <conditionalFormatting sqref="G11:G63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{23AEC08D-FFC0-4729-9795-922D9640C321}</x14:id>
        </ext>
      </extLst>
    </cfRule>
  </conditionalFormatting>
  <pageMargins left="0.7" right="0.7" top="0.75" bottom="0.75" header="0.3" footer="0.3"/>
  <pageSetup paperSize="9" orientation="portrait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3AEC08D-FFC0-4729-9795-922D9640C32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G11:G63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H30"/>
  <sheetViews>
    <sheetView topLeftCell="B16" zoomScale="133" zoomScaleNormal="120" workbookViewId="0">
      <selection activeCell="G12" sqref="G12"/>
    </sheetView>
  </sheetViews>
  <sheetFormatPr defaultColWidth="4.28515625" defaultRowHeight="15"/>
  <cols>
    <col min="2" max="2" width="88.42578125" customWidth="1"/>
    <col min="3" max="4" width="9.28515625" customWidth="1"/>
    <col min="5" max="5" width="17.85546875" customWidth="1"/>
    <col min="6" max="6" width="5.85546875" customWidth="1"/>
    <col min="7" max="7" width="17.7109375" customWidth="1"/>
    <col min="8" max="8" width="3.85546875" customWidth="1"/>
    <col min="9" max="11" width="4.28515625" bestFit="1" customWidth="1"/>
    <col min="12" max="12" width="3.42578125" customWidth="1"/>
    <col min="13" max="13" width="3.42578125" hidden="1" customWidth="1"/>
    <col min="14" max="14" width="3.7109375" customWidth="1"/>
    <col min="15" max="15" width="3.42578125" customWidth="1"/>
    <col min="16" max="16" width="4.28515625" customWidth="1"/>
    <col min="17" max="17" width="4.28515625" bestFit="1" customWidth="1"/>
    <col min="18" max="18" width="4" customWidth="1"/>
    <col min="19" max="22" width="4.28515625" bestFit="1" customWidth="1"/>
    <col min="23" max="24" width="3.42578125" customWidth="1"/>
    <col min="25" max="25" width="3.85546875" customWidth="1"/>
    <col min="26" max="26" width="3.42578125" customWidth="1"/>
    <col min="27" max="27" width="3.7109375" customWidth="1"/>
    <col min="28" max="28" width="3.42578125" customWidth="1"/>
    <col min="29" max="32" width="4.28515625" bestFit="1" customWidth="1"/>
    <col min="33" max="33" width="3.42578125" customWidth="1"/>
    <col min="34" max="37" width="4.28515625" bestFit="1" customWidth="1"/>
    <col min="38" max="38" width="4.140625" customWidth="1"/>
    <col min="39" max="42" width="4.28515625" bestFit="1" customWidth="1"/>
    <col min="43" max="43" width="3.85546875" customWidth="1"/>
    <col min="44" max="47" width="4.28515625" bestFit="1" customWidth="1"/>
    <col min="48" max="48" width="2.85546875" customWidth="1"/>
    <col min="49" max="52" width="4.28515625" bestFit="1" customWidth="1"/>
    <col min="53" max="53" width="3.28515625" customWidth="1"/>
    <col min="54" max="57" width="4.28515625" bestFit="1" customWidth="1"/>
    <col min="58" max="58" width="3.140625" customWidth="1"/>
    <col min="59" max="59" width="3.42578125" customWidth="1"/>
    <col min="60" max="62" width="4.28515625" bestFit="1" customWidth="1"/>
    <col min="63" max="63" width="3.28515625" customWidth="1"/>
    <col min="64" max="68" width="4.28515625" bestFit="1" customWidth="1"/>
    <col min="69" max="69" width="3.7109375" customWidth="1"/>
    <col min="70" max="75" width="4.28515625" bestFit="1" customWidth="1"/>
    <col min="76" max="76" width="3.85546875" customWidth="1"/>
    <col min="77" max="82" width="4.28515625" bestFit="1" customWidth="1"/>
    <col min="112" max="112" width="3" customWidth="1"/>
  </cols>
  <sheetData>
    <row r="1" spans="1:112">
      <c r="A1" s="1"/>
      <c r="B1" s="17"/>
      <c r="C1" s="2"/>
      <c r="D1" s="1"/>
      <c r="E1" s="17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</row>
    <row r="2" spans="1:112" ht="15.95">
      <c r="B2" s="23" t="s">
        <v>0</v>
      </c>
    </row>
    <row r="3" spans="1:112">
      <c r="B3" t="s">
        <v>1</v>
      </c>
    </row>
    <row r="4" spans="1:112">
      <c r="A4" s="1"/>
      <c r="B4" s="1"/>
      <c r="C4" s="1"/>
      <c r="D4" s="17" t="s">
        <v>2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</row>
    <row r="5" spans="1:112">
      <c r="A5" s="1"/>
      <c r="C5" s="1"/>
      <c r="D5" s="21"/>
      <c r="E5" s="17" t="s">
        <v>3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</row>
    <row r="6" spans="1:112">
      <c r="B6" s="18"/>
      <c r="D6" s="48"/>
      <c r="E6" s="17" t="s">
        <v>4</v>
      </c>
      <c r="CG6" s="1"/>
      <c r="CH6" s="1"/>
      <c r="CI6" s="1"/>
      <c r="CJ6" s="1"/>
      <c r="CK6" s="1"/>
      <c r="CL6" s="1"/>
      <c r="CM6" s="1"/>
      <c r="CN6" s="1"/>
    </row>
    <row r="7" spans="1:112">
      <c r="B7" s="18"/>
      <c r="D7" s="22"/>
      <c r="E7" s="17" t="s">
        <v>5</v>
      </c>
      <c r="CF7" s="3"/>
      <c r="CG7" s="3"/>
      <c r="CH7" s="3"/>
      <c r="CI7" s="3"/>
      <c r="CJ7" s="3"/>
      <c r="CK7" s="4"/>
      <c r="CL7" s="4"/>
      <c r="CM7" s="4"/>
      <c r="CN7" s="1"/>
    </row>
    <row r="8" spans="1:112">
      <c r="A8" s="1"/>
      <c r="B8" s="18"/>
      <c r="C8" s="1"/>
      <c r="D8" s="49"/>
      <c r="E8" s="17" t="s">
        <v>6</v>
      </c>
      <c r="F8" s="1"/>
      <c r="G8" s="1"/>
      <c r="H8" s="18" t="s">
        <v>148</v>
      </c>
      <c r="I8" s="19" t="s">
        <v>7</v>
      </c>
      <c r="J8" s="19"/>
      <c r="K8" s="19"/>
      <c r="L8" s="19"/>
      <c r="M8" s="18"/>
      <c r="N8" s="19" t="s">
        <v>8</v>
      </c>
      <c r="O8" s="19"/>
      <c r="P8" s="19"/>
      <c r="Q8" s="19"/>
      <c r="R8" s="19" t="s">
        <v>9</v>
      </c>
      <c r="S8" s="19"/>
      <c r="T8" s="19"/>
      <c r="U8" s="19"/>
      <c r="V8" s="19"/>
      <c r="W8" s="19" t="s">
        <v>10</v>
      </c>
      <c r="X8" s="19"/>
      <c r="Y8" s="19"/>
      <c r="Z8" s="19"/>
      <c r="AA8" s="19"/>
      <c r="AB8" s="19" t="s">
        <v>11</v>
      </c>
      <c r="AC8" s="19"/>
      <c r="AD8" s="19"/>
      <c r="AE8" s="19"/>
      <c r="AF8" s="19"/>
      <c r="AG8" s="19" t="s">
        <v>12</v>
      </c>
      <c r="AH8" s="19"/>
      <c r="AI8" s="19"/>
      <c r="AJ8" s="19"/>
      <c r="AK8" s="19"/>
      <c r="AL8" s="19" t="s">
        <v>13</v>
      </c>
      <c r="AM8" s="19"/>
      <c r="AN8" s="19"/>
      <c r="AO8" s="19"/>
      <c r="AP8" s="19"/>
      <c r="AQ8" s="19" t="s">
        <v>14</v>
      </c>
      <c r="AR8" s="19"/>
      <c r="AS8" s="19"/>
      <c r="AT8" s="19"/>
      <c r="AU8" s="19"/>
      <c r="AV8" s="19" t="s">
        <v>15</v>
      </c>
      <c r="AW8" s="19"/>
      <c r="AX8" s="19"/>
      <c r="AY8" s="19"/>
      <c r="AZ8" s="19"/>
      <c r="BA8" s="19" t="s">
        <v>16</v>
      </c>
      <c r="BB8" s="19"/>
      <c r="BC8" s="19"/>
      <c r="BD8" s="19"/>
      <c r="BE8" s="19"/>
      <c r="BF8" s="19" t="s">
        <v>17</v>
      </c>
      <c r="BG8" s="19"/>
      <c r="BH8" s="19"/>
      <c r="BI8" s="19"/>
      <c r="BJ8" s="19"/>
      <c r="BK8" s="19" t="s">
        <v>18</v>
      </c>
      <c r="BL8" s="19"/>
      <c r="BM8" s="19"/>
      <c r="BN8" s="19"/>
      <c r="BO8" s="19"/>
      <c r="BP8" s="17"/>
      <c r="BQ8" s="17" t="s">
        <v>19</v>
      </c>
      <c r="BR8" s="17"/>
      <c r="BS8" s="17"/>
      <c r="BT8" s="17"/>
      <c r="BU8" s="17"/>
      <c r="BV8" s="17"/>
      <c r="BW8" s="17"/>
      <c r="BX8" s="17" t="s">
        <v>20</v>
      </c>
      <c r="BY8" s="17"/>
      <c r="BZ8" s="17"/>
      <c r="CA8" s="17"/>
      <c r="CB8" s="17"/>
      <c r="CC8" s="17"/>
      <c r="CD8" s="17"/>
      <c r="CE8" s="24" t="s">
        <v>21</v>
      </c>
      <c r="CF8" s="1"/>
      <c r="CG8" s="1"/>
      <c r="CH8" s="1"/>
      <c r="CI8" s="1"/>
      <c r="CJ8" s="1"/>
      <c r="CK8" s="1"/>
      <c r="CL8" s="1"/>
      <c r="CM8" s="1"/>
      <c r="CN8" s="1"/>
    </row>
    <row r="9" spans="1:112" ht="41.1">
      <c r="A9" s="1"/>
      <c r="B9" s="1"/>
      <c r="C9" s="1"/>
      <c r="F9" s="1"/>
      <c r="G9" s="1"/>
      <c r="H9" s="3">
        <v>45676</v>
      </c>
      <c r="I9" s="3">
        <v>45677</v>
      </c>
      <c r="J9" s="3">
        <v>45678</v>
      </c>
      <c r="K9" s="3">
        <v>45679</v>
      </c>
      <c r="L9" s="3">
        <v>45680</v>
      </c>
      <c r="M9" s="3">
        <v>45695</v>
      </c>
      <c r="N9" s="3">
        <v>45681</v>
      </c>
      <c r="O9" s="3">
        <v>45682</v>
      </c>
      <c r="P9" s="3">
        <v>45683</v>
      </c>
      <c r="Q9" s="3">
        <v>45684</v>
      </c>
      <c r="R9" s="3">
        <v>45685</v>
      </c>
      <c r="S9" s="3">
        <v>45686</v>
      </c>
      <c r="T9" s="3">
        <v>45687</v>
      </c>
      <c r="U9" s="3">
        <v>45688</v>
      </c>
      <c r="V9" s="3">
        <v>45689</v>
      </c>
      <c r="W9" s="3">
        <v>45690</v>
      </c>
      <c r="X9" s="3">
        <v>45691</v>
      </c>
      <c r="Y9" s="3">
        <v>45692</v>
      </c>
      <c r="Z9" s="3">
        <v>45693</v>
      </c>
      <c r="AA9" s="3">
        <v>45694</v>
      </c>
      <c r="AB9" s="3">
        <v>45695</v>
      </c>
      <c r="AC9" s="3">
        <v>45696</v>
      </c>
      <c r="AD9" s="3">
        <v>45697</v>
      </c>
      <c r="AE9" s="3">
        <v>45698</v>
      </c>
      <c r="AF9" s="3">
        <v>45699</v>
      </c>
      <c r="AG9" s="3">
        <v>45700</v>
      </c>
      <c r="AH9" s="3">
        <v>45701</v>
      </c>
      <c r="AI9" s="3">
        <v>45702</v>
      </c>
      <c r="AJ9" s="3">
        <v>45703</v>
      </c>
      <c r="AK9" s="3">
        <v>45704</v>
      </c>
      <c r="AL9" s="3">
        <v>45705</v>
      </c>
      <c r="AM9" s="3">
        <v>45706</v>
      </c>
      <c r="AN9" s="3">
        <v>45707</v>
      </c>
      <c r="AO9" s="3">
        <v>45708</v>
      </c>
      <c r="AP9" s="3">
        <v>45709</v>
      </c>
      <c r="AQ9" s="3">
        <v>45710</v>
      </c>
      <c r="AR9" s="3">
        <v>45711</v>
      </c>
      <c r="AS9" s="3">
        <v>45712</v>
      </c>
      <c r="AT9" s="3">
        <v>45713</v>
      </c>
      <c r="AU9" s="3">
        <v>45714</v>
      </c>
      <c r="AV9" s="3">
        <v>45715</v>
      </c>
      <c r="AW9" s="3">
        <v>45716</v>
      </c>
      <c r="AX9" s="3">
        <v>45717</v>
      </c>
      <c r="AY9" s="3">
        <v>45718</v>
      </c>
      <c r="AZ9" s="3">
        <v>45719</v>
      </c>
      <c r="BA9" s="3">
        <v>45720</v>
      </c>
      <c r="BB9" s="3">
        <v>45721</v>
      </c>
      <c r="BC9" s="3">
        <v>45722</v>
      </c>
      <c r="BD9" s="3">
        <v>45723</v>
      </c>
      <c r="BE9" s="3">
        <v>45724</v>
      </c>
      <c r="BF9" s="3">
        <v>45725</v>
      </c>
      <c r="BG9" s="3">
        <v>45726</v>
      </c>
      <c r="BH9" s="3">
        <v>45727</v>
      </c>
      <c r="BI9" s="3">
        <v>45728</v>
      </c>
      <c r="BJ9" s="3">
        <v>45729</v>
      </c>
      <c r="BK9" s="3">
        <v>45730</v>
      </c>
      <c r="BL9" s="3">
        <v>45731</v>
      </c>
      <c r="BM9" s="3">
        <v>45732</v>
      </c>
      <c r="BN9" s="3">
        <v>45733</v>
      </c>
      <c r="BO9" s="3">
        <v>45734</v>
      </c>
      <c r="BP9" s="3">
        <v>45735</v>
      </c>
      <c r="BQ9" s="3">
        <v>45736</v>
      </c>
      <c r="BR9" s="3">
        <v>45737</v>
      </c>
      <c r="BS9" s="3">
        <v>45738</v>
      </c>
      <c r="BT9" s="3">
        <v>45739</v>
      </c>
      <c r="BU9" s="3">
        <v>45740</v>
      </c>
      <c r="BV9" s="3">
        <v>45741</v>
      </c>
      <c r="BW9" s="3">
        <v>45742</v>
      </c>
      <c r="BX9" s="3">
        <v>45743</v>
      </c>
      <c r="BY9" s="3">
        <v>45744</v>
      </c>
      <c r="BZ9" s="3">
        <v>45745</v>
      </c>
      <c r="CA9" s="3">
        <v>45746</v>
      </c>
      <c r="CB9" s="3">
        <v>45747</v>
      </c>
      <c r="CC9" s="3">
        <v>45748</v>
      </c>
      <c r="CD9" s="3">
        <v>45749</v>
      </c>
      <c r="CE9" s="3">
        <v>45750</v>
      </c>
      <c r="CF9" s="3">
        <v>45751</v>
      </c>
      <c r="CG9" s="3">
        <v>45752</v>
      </c>
      <c r="CH9" s="3">
        <v>45753</v>
      </c>
      <c r="CI9" s="3">
        <v>45754</v>
      </c>
      <c r="CJ9" s="3">
        <v>45755</v>
      </c>
      <c r="CK9" s="3">
        <v>45756</v>
      </c>
      <c r="CL9" s="3">
        <v>45757</v>
      </c>
      <c r="CM9" s="3">
        <v>45758</v>
      </c>
      <c r="CN9" s="3">
        <v>45759</v>
      </c>
      <c r="CO9" s="3">
        <v>45760</v>
      </c>
      <c r="CP9" s="3">
        <v>45761</v>
      </c>
      <c r="CQ9" s="3">
        <v>45762</v>
      </c>
      <c r="CR9" s="3">
        <v>45763</v>
      </c>
      <c r="CS9" s="3">
        <v>45764</v>
      </c>
      <c r="CT9" s="3">
        <v>45765</v>
      </c>
      <c r="CU9" s="3">
        <v>45766</v>
      </c>
      <c r="CV9" s="3">
        <v>45767</v>
      </c>
      <c r="CW9" s="3">
        <v>45768</v>
      </c>
      <c r="CX9" s="3">
        <v>45769</v>
      </c>
      <c r="CY9" s="3">
        <v>45770</v>
      </c>
      <c r="CZ9" s="3">
        <v>45771</v>
      </c>
      <c r="DA9" s="3">
        <v>45772</v>
      </c>
      <c r="DB9" s="3">
        <v>45773</v>
      </c>
      <c r="DC9" s="3">
        <v>45774</v>
      </c>
      <c r="DD9" s="3">
        <v>45790</v>
      </c>
      <c r="DE9" s="3">
        <v>45775</v>
      </c>
      <c r="DF9" s="3">
        <v>45776</v>
      </c>
      <c r="DG9" s="3">
        <v>45777</v>
      </c>
      <c r="DH9" s="39"/>
    </row>
    <row r="10" spans="1:112">
      <c r="A10" s="5" t="s">
        <v>22</v>
      </c>
      <c r="B10" s="6" t="s">
        <v>23</v>
      </c>
      <c r="C10" s="7" t="s">
        <v>24</v>
      </c>
      <c r="D10" s="6" t="s">
        <v>25</v>
      </c>
      <c r="E10" s="7" t="s">
        <v>26</v>
      </c>
      <c r="F10" s="6" t="s">
        <v>27</v>
      </c>
      <c r="G10" s="7" t="s">
        <v>28</v>
      </c>
      <c r="H10" s="14"/>
      <c r="I10" s="1"/>
      <c r="J10" s="1"/>
      <c r="K10" s="1"/>
      <c r="L10" s="8"/>
      <c r="M10" s="14"/>
      <c r="N10" s="1"/>
      <c r="O10" s="1"/>
      <c r="P10" s="1"/>
      <c r="Q10" s="8"/>
      <c r="R10" s="14"/>
      <c r="S10" s="1"/>
      <c r="T10" s="1"/>
      <c r="U10" s="1"/>
      <c r="V10" s="8"/>
      <c r="W10" s="14"/>
      <c r="X10" s="1"/>
      <c r="Y10" s="1"/>
      <c r="Z10" s="1"/>
      <c r="AA10" s="8"/>
      <c r="AB10" s="25"/>
      <c r="AC10" s="1"/>
      <c r="AD10" s="1"/>
      <c r="AE10" s="1"/>
      <c r="AF10" s="8"/>
      <c r="AG10" s="14"/>
      <c r="AH10" s="1"/>
      <c r="AI10" s="1"/>
      <c r="AJ10" s="1"/>
      <c r="AK10" s="8"/>
      <c r="AL10" s="14"/>
      <c r="AM10" s="1"/>
      <c r="AN10" s="1"/>
      <c r="AO10" s="1"/>
      <c r="AP10" s="8"/>
      <c r="AQ10" s="14"/>
      <c r="AR10" s="1"/>
      <c r="AS10" s="1"/>
      <c r="AT10" s="1"/>
      <c r="AU10" s="8"/>
      <c r="AV10" s="14"/>
      <c r="AW10" s="1"/>
      <c r="AX10" s="1"/>
      <c r="AY10" s="1"/>
      <c r="AZ10" s="8"/>
      <c r="BA10" s="14"/>
      <c r="BB10" s="1"/>
      <c r="BC10" s="1"/>
      <c r="BD10" s="1"/>
      <c r="BE10" s="8"/>
      <c r="BF10" s="14"/>
      <c r="BG10" s="1"/>
      <c r="BH10" s="1"/>
      <c r="BI10" s="1"/>
      <c r="BJ10" s="8"/>
      <c r="BK10" s="14"/>
      <c r="BL10" s="1"/>
      <c r="BM10" s="1"/>
      <c r="BN10" s="1"/>
      <c r="BO10" s="8"/>
      <c r="BP10" s="14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</row>
    <row r="11" spans="1:112" ht="15.95">
      <c r="A11" s="33" t="s">
        <v>29</v>
      </c>
      <c r="B11" s="31" t="s">
        <v>30</v>
      </c>
      <c r="C11" s="10">
        <v>45205</v>
      </c>
      <c r="D11" s="10">
        <v>45205</v>
      </c>
      <c r="E11" s="13"/>
      <c r="F11" s="11">
        <v>1</v>
      </c>
      <c r="G11" s="12">
        <v>1</v>
      </c>
      <c r="H11" s="50"/>
      <c r="I11" s="51"/>
      <c r="J11" s="51"/>
      <c r="K11" s="51"/>
      <c r="L11" s="51"/>
      <c r="M11" s="51"/>
      <c r="N11" s="51"/>
      <c r="O11" s="51"/>
      <c r="P11" s="51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5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</row>
    <row r="12" spans="1:112" ht="15.95">
      <c r="A12" s="33">
        <v>1</v>
      </c>
      <c r="B12" s="31" t="s">
        <v>31</v>
      </c>
      <c r="C12" s="10">
        <v>45676</v>
      </c>
      <c r="D12" s="10">
        <v>44952</v>
      </c>
      <c r="E12" s="13"/>
      <c r="F12" s="11">
        <v>18</v>
      </c>
      <c r="G12" s="12">
        <v>1</v>
      </c>
      <c r="H12" s="41"/>
      <c r="I12" s="41"/>
      <c r="J12" s="41"/>
      <c r="K12" s="41"/>
      <c r="L12" s="41"/>
      <c r="M12" s="41"/>
      <c r="N12" s="41"/>
      <c r="O12" s="41"/>
      <c r="P12" s="42"/>
      <c r="Q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/>
      <c r="AO12" s="40"/>
      <c r="AP12" s="40"/>
      <c r="AQ12" s="40"/>
      <c r="AR12" s="40"/>
      <c r="AS12" s="40"/>
      <c r="AT12" s="40"/>
      <c r="AU12" s="37"/>
      <c r="AV12" s="37"/>
      <c r="AW12" s="37"/>
      <c r="AX12" s="37"/>
      <c r="AY12" s="37"/>
      <c r="AZ12" s="37"/>
      <c r="BA12" s="37"/>
      <c r="BB12" s="37"/>
      <c r="BC12" s="37"/>
      <c r="BD12" s="37"/>
      <c r="BE12" s="37"/>
      <c r="BF12" s="37"/>
      <c r="BG12" s="37"/>
      <c r="BH12" s="37"/>
      <c r="BI12" s="37"/>
      <c r="BJ12" s="37"/>
      <c r="BK12" s="37"/>
      <c r="BL12" s="37"/>
      <c r="BM12" s="37"/>
      <c r="BN12" s="37"/>
      <c r="BO12" s="37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</row>
    <row r="13" spans="1:112" ht="15.95">
      <c r="A13" s="9">
        <v>1.1000000000000001</v>
      </c>
      <c r="B13" s="26" t="s">
        <v>32</v>
      </c>
      <c r="C13" s="10">
        <v>44945</v>
      </c>
      <c r="D13" s="10">
        <v>44951</v>
      </c>
      <c r="E13" s="13"/>
      <c r="F13" s="11">
        <v>7</v>
      </c>
      <c r="G13" s="12">
        <v>1</v>
      </c>
      <c r="H13" s="43"/>
      <c r="I13" s="44"/>
      <c r="J13" s="44"/>
      <c r="K13" s="44"/>
      <c r="L13" s="44"/>
      <c r="M13" s="44"/>
      <c r="N13" s="44"/>
      <c r="O13" s="44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8"/>
      <c r="AC13" s="37"/>
      <c r="AD13" s="37"/>
      <c r="AE13" s="37"/>
      <c r="AF13" s="37"/>
      <c r="AG13" s="37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37"/>
      <c r="AS13" s="37"/>
      <c r="AT13" s="37"/>
      <c r="AU13" s="37"/>
      <c r="AV13" s="37"/>
      <c r="AW13" s="37"/>
      <c r="AX13" s="37"/>
      <c r="AY13" s="37"/>
      <c r="AZ13" s="37"/>
      <c r="BA13" s="37"/>
      <c r="BB13" s="37"/>
      <c r="BC13" s="37"/>
      <c r="BD13" s="37"/>
      <c r="BE13" s="37"/>
      <c r="BF13" s="37"/>
      <c r="BG13" s="37"/>
      <c r="BH13" s="37"/>
      <c r="BI13" s="37"/>
      <c r="BJ13" s="37"/>
      <c r="BK13" s="37"/>
      <c r="BL13" s="37"/>
      <c r="BM13" s="37"/>
      <c r="BN13" s="37"/>
      <c r="BO13" s="37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</row>
    <row r="14" spans="1:112" ht="15.95">
      <c r="A14" s="9">
        <v>1.2</v>
      </c>
      <c r="B14" s="26" t="s">
        <v>33</v>
      </c>
      <c r="C14" s="10">
        <v>44947</v>
      </c>
      <c r="D14" s="10">
        <v>44951</v>
      </c>
      <c r="E14" s="13"/>
      <c r="F14" s="11">
        <v>5</v>
      </c>
      <c r="G14" s="12">
        <v>1</v>
      </c>
      <c r="H14" s="36"/>
      <c r="I14" s="37"/>
      <c r="K14" s="44"/>
      <c r="L14" s="44"/>
      <c r="M14" s="44"/>
      <c r="N14" s="44"/>
      <c r="O14" s="45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8"/>
      <c r="AC14" s="37"/>
      <c r="AD14" s="37"/>
      <c r="AE14" s="37"/>
      <c r="AF14" s="37"/>
      <c r="AG14" s="37"/>
      <c r="AH14" s="37"/>
      <c r="AI14" s="37"/>
      <c r="AJ14" s="37"/>
      <c r="AK14" s="37"/>
      <c r="AL14" s="37"/>
      <c r="AM14" s="37"/>
      <c r="AN14" s="37"/>
      <c r="AO14" s="37"/>
      <c r="AP14" s="37"/>
      <c r="AQ14" s="37"/>
      <c r="AR14" s="37"/>
      <c r="AS14" s="37"/>
      <c r="AT14" s="37"/>
      <c r="AU14" s="37"/>
      <c r="AV14" s="37"/>
      <c r="AW14" s="37"/>
      <c r="AX14" s="37"/>
      <c r="AY14" s="37"/>
      <c r="AZ14" s="37"/>
      <c r="BA14" s="37"/>
      <c r="BB14" s="37"/>
      <c r="BC14" s="37"/>
      <c r="BD14" s="37"/>
      <c r="BE14" s="37"/>
      <c r="BF14" s="37"/>
      <c r="BG14" s="37"/>
      <c r="BH14" s="37"/>
      <c r="BI14" s="37"/>
      <c r="BJ14" s="37"/>
      <c r="BK14" s="37"/>
      <c r="BL14" s="37"/>
      <c r="BM14" s="37"/>
      <c r="BN14" s="37"/>
      <c r="BO14" s="37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</row>
    <row r="15" spans="1:112" ht="15.95">
      <c r="A15" s="9">
        <v>1.3</v>
      </c>
      <c r="B15" s="26" t="s">
        <v>34</v>
      </c>
      <c r="C15" s="10">
        <v>44952</v>
      </c>
      <c r="D15" s="10">
        <v>44952</v>
      </c>
      <c r="E15" s="13"/>
      <c r="F15" s="11">
        <v>1</v>
      </c>
      <c r="G15" s="12">
        <v>0</v>
      </c>
      <c r="H15" s="36"/>
      <c r="I15" s="37"/>
      <c r="J15" s="37"/>
      <c r="K15" s="37"/>
      <c r="L15" s="37"/>
      <c r="M15" s="37"/>
      <c r="N15" s="37"/>
      <c r="O15" s="37"/>
      <c r="P15" s="22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8"/>
      <c r="AC15" s="37"/>
      <c r="AD15" s="37"/>
      <c r="AE15" s="37"/>
      <c r="AF15" s="37"/>
      <c r="AG15" s="37"/>
      <c r="AH15" s="37"/>
      <c r="AI15" s="37"/>
      <c r="AJ15" s="37"/>
      <c r="AK15" s="37"/>
      <c r="AL15" s="37"/>
      <c r="AM15" s="37"/>
      <c r="AN15" s="37"/>
      <c r="AO15" s="37"/>
      <c r="AP15" s="37"/>
      <c r="AQ15" s="37"/>
      <c r="AR15" s="37"/>
      <c r="AS15" s="37"/>
      <c r="AT15" s="37"/>
      <c r="AU15" s="37"/>
      <c r="AV15" s="37"/>
      <c r="AW15" s="37"/>
      <c r="AX15" s="37"/>
      <c r="AY15" s="37"/>
      <c r="AZ15" s="37"/>
      <c r="BA15" s="37"/>
      <c r="BB15" s="37"/>
      <c r="BC15" s="37"/>
      <c r="BD15" s="37"/>
      <c r="BE15" s="37"/>
      <c r="BF15" s="37"/>
      <c r="BG15" s="37"/>
      <c r="BH15" s="37"/>
      <c r="BI15" s="37"/>
      <c r="BJ15" s="37"/>
      <c r="BK15" s="37"/>
      <c r="BL15" s="37"/>
      <c r="BM15" s="37"/>
      <c r="BN15" s="37"/>
      <c r="BO15" s="37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</row>
    <row r="16" spans="1:112" ht="15.95">
      <c r="A16" s="33">
        <v>2</v>
      </c>
      <c r="B16" s="31" t="s">
        <v>35</v>
      </c>
      <c r="C16" s="10">
        <v>44963</v>
      </c>
      <c r="D16" s="10">
        <v>44997</v>
      </c>
      <c r="E16" s="13"/>
      <c r="F16" s="11">
        <v>35</v>
      </c>
      <c r="G16" s="12">
        <v>1</v>
      </c>
      <c r="H16" s="36"/>
      <c r="I16" s="37"/>
      <c r="J16" s="37"/>
      <c r="K16" s="37"/>
      <c r="L16" s="37"/>
      <c r="M16" s="37"/>
      <c r="N16" s="37" t="s">
        <v>36</v>
      </c>
      <c r="O16" s="37"/>
      <c r="P16" s="37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45"/>
      <c r="AH16" s="37"/>
      <c r="AI16" s="37"/>
      <c r="AJ16" s="37"/>
      <c r="AK16" s="37"/>
      <c r="AL16" s="37"/>
      <c r="AM16" s="37"/>
      <c r="AN16" s="37"/>
      <c r="AO16" s="37"/>
      <c r="AP16" s="37"/>
      <c r="AQ16" s="37"/>
      <c r="AR16" s="37"/>
      <c r="AS16" s="37"/>
      <c r="AT16" s="37"/>
      <c r="AU16" s="38"/>
      <c r="AV16" s="38"/>
      <c r="AW16" s="38"/>
      <c r="AX16" s="38"/>
      <c r="AY16" s="37"/>
      <c r="AZ16" s="37"/>
      <c r="BA16" s="37"/>
      <c r="BB16" s="37"/>
      <c r="BC16" s="37"/>
      <c r="BD16" s="37"/>
      <c r="BE16" s="37"/>
      <c r="BF16" s="37"/>
      <c r="BG16" s="37"/>
      <c r="BH16" s="37"/>
      <c r="BI16" s="37"/>
      <c r="BJ16" s="37"/>
      <c r="BK16" s="37"/>
      <c r="BL16" s="37"/>
      <c r="BM16" s="37"/>
      <c r="BN16" s="37"/>
      <c r="BO16" s="37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</row>
    <row r="17" spans="1:111" ht="15.95">
      <c r="A17" s="9">
        <v>2.1</v>
      </c>
      <c r="B17" s="26" t="s">
        <v>37</v>
      </c>
      <c r="C17" s="10">
        <v>44965</v>
      </c>
      <c r="D17" s="10">
        <v>44971</v>
      </c>
      <c r="E17" s="13"/>
      <c r="F17" s="11">
        <v>7</v>
      </c>
      <c r="G17" s="12">
        <v>1</v>
      </c>
      <c r="H17" s="36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45"/>
      <c r="AD17" s="45"/>
      <c r="AE17" s="45"/>
      <c r="AF17" s="45"/>
      <c r="AG17" s="45"/>
      <c r="AH17" s="45"/>
      <c r="AI17" s="45"/>
      <c r="AJ17" s="37"/>
      <c r="AK17" s="37"/>
      <c r="AL17" s="37"/>
      <c r="AM17" s="37"/>
      <c r="AN17" s="37"/>
      <c r="AO17" s="37"/>
      <c r="AP17" s="37"/>
      <c r="AQ17" s="37"/>
      <c r="AR17" s="37"/>
      <c r="AS17" s="37"/>
      <c r="AT17" s="37"/>
      <c r="AU17" s="37"/>
      <c r="AV17" s="37"/>
      <c r="AW17" s="37"/>
      <c r="AX17" s="37"/>
      <c r="AY17" s="37"/>
      <c r="AZ17" s="37"/>
      <c r="BA17" s="37"/>
      <c r="BB17" s="37"/>
      <c r="BC17" s="37"/>
      <c r="BD17" s="37"/>
      <c r="BE17" s="37"/>
      <c r="BF17" s="37"/>
      <c r="BG17" s="37"/>
      <c r="BH17" s="37"/>
      <c r="BI17" s="37"/>
      <c r="BJ17" s="37"/>
      <c r="BK17" s="37"/>
      <c r="BL17" s="37"/>
      <c r="BM17" s="37"/>
      <c r="BN17" s="37"/>
      <c r="BO17" s="37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</row>
    <row r="18" spans="1:111" ht="15.95">
      <c r="A18" s="9">
        <v>2.2000000000000002</v>
      </c>
      <c r="B18" s="26" t="s">
        <v>38</v>
      </c>
      <c r="C18" s="10">
        <v>44972</v>
      </c>
      <c r="D18" s="10">
        <v>44975</v>
      </c>
      <c r="E18" s="13"/>
      <c r="F18" s="11">
        <v>4</v>
      </c>
      <c r="G18" s="12">
        <v>1</v>
      </c>
      <c r="H18" s="36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37"/>
      <c r="AI18" s="37"/>
      <c r="AJ18" s="45"/>
      <c r="AK18" s="45"/>
      <c r="AL18" s="45"/>
      <c r="AM18" s="45"/>
      <c r="AN18" s="37"/>
      <c r="AO18" s="37"/>
      <c r="AP18" s="37"/>
      <c r="AQ18" s="37"/>
      <c r="AR18" s="37"/>
      <c r="AS18" s="37"/>
      <c r="AT18" s="37"/>
      <c r="AU18" s="37"/>
      <c r="AV18" s="37"/>
      <c r="AW18" s="37"/>
      <c r="AX18" s="37"/>
      <c r="AY18" s="37"/>
      <c r="AZ18" s="37"/>
      <c r="BA18" s="37"/>
      <c r="BB18" s="37"/>
      <c r="BC18" s="37"/>
      <c r="BD18" s="37"/>
      <c r="BE18" s="37"/>
      <c r="BF18" s="37"/>
      <c r="BG18" s="37"/>
      <c r="BH18" s="37"/>
      <c r="BI18" s="37"/>
      <c r="BJ18" s="37"/>
      <c r="BK18" s="37"/>
      <c r="BL18" s="37"/>
      <c r="BM18" s="37"/>
      <c r="BN18" s="37"/>
      <c r="BO18" s="37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</row>
    <row r="19" spans="1:111" ht="15.95">
      <c r="A19" s="9">
        <v>2.2999999999999998</v>
      </c>
      <c r="B19" s="26" t="s">
        <v>39</v>
      </c>
      <c r="C19" s="10">
        <v>44976</v>
      </c>
      <c r="D19" s="10">
        <v>44981</v>
      </c>
      <c r="E19" s="13"/>
      <c r="F19" s="11">
        <v>6</v>
      </c>
      <c r="G19" s="12">
        <v>0.2</v>
      </c>
      <c r="H19" s="36"/>
      <c r="I19" s="37"/>
      <c r="J19" s="37"/>
      <c r="K19" s="37"/>
      <c r="L19" s="37"/>
      <c r="M19" s="37"/>
      <c r="N19" s="46"/>
      <c r="O19" s="46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46"/>
      <c r="AD19" s="46"/>
      <c r="AE19" s="46"/>
      <c r="AF19" s="46"/>
      <c r="AG19" s="46"/>
      <c r="AH19" s="37"/>
      <c r="AI19" s="37"/>
      <c r="AJ19" s="37"/>
      <c r="AK19" s="37"/>
      <c r="AL19" s="37"/>
      <c r="AM19" s="37"/>
      <c r="AN19" s="45"/>
      <c r="AO19" s="47"/>
      <c r="AP19" s="47"/>
      <c r="AQ19" s="47"/>
      <c r="AR19" s="47"/>
      <c r="AS19" s="47"/>
      <c r="AT19" s="37"/>
      <c r="AU19" s="37"/>
      <c r="AV19" s="37"/>
      <c r="AW19" s="37"/>
      <c r="AX19" s="37"/>
      <c r="AY19" s="37"/>
      <c r="AZ19" s="37"/>
      <c r="BA19" s="37"/>
      <c r="BB19" s="37"/>
      <c r="BC19" s="37"/>
      <c r="BD19" s="37"/>
      <c r="BE19" s="37"/>
      <c r="BF19" s="37"/>
      <c r="BG19" s="37"/>
      <c r="BH19" s="37"/>
      <c r="BI19" s="37"/>
      <c r="BJ19" s="37"/>
      <c r="BK19" s="37"/>
      <c r="BL19" s="37"/>
      <c r="BM19" s="37"/>
      <c r="BN19" s="37"/>
      <c r="BO19" s="37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</row>
    <row r="20" spans="1:111" ht="15.95">
      <c r="A20" s="33">
        <v>3</v>
      </c>
      <c r="B20" s="31" t="s">
        <v>40</v>
      </c>
      <c r="C20" s="10">
        <v>44984</v>
      </c>
      <c r="D20" s="10">
        <v>45004</v>
      </c>
      <c r="E20" s="13"/>
      <c r="F20" s="11">
        <v>21</v>
      </c>
      <c r="G20" s="12">
        <v>0.1</v>
      </c>
      <c r="H20" s="36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7"/>
      <c r="AK20" s="37"/>
      <c r="AL20" s="37"/>
      <c r="AM20" s="37"/>
      <c r="AN20" s="37"/>
      <c r="AO20" s="37"/>
      <c r="AP20" s="37"/>
      <c r="AQ20" s="37"/>
      <c r="AR20" s="37"/>
      <c r="AS20" s="37"/>
      <c r="AT20" s="37"/>
      <c r="AU20" s="37"/>
      <c r="AV20" s="45"/>
      <c r="AW20" s="45"/>
      <c r="AX20" s="45"/>
      <c r="AY20" s="45"/>
      <c r="AZ20" s="44"/>
      <c r="BA20" s="44"/>
      <c r="BB20" s="44"/>
      <c r="BC20" s="44"/>
      <c r="BD20" s="44"/>
      <c r="BE20" s="44"/>
      <c r="BF20" s="44"/>
      <c r="BG20" s="44"/>
      <c r="BH20" s="44"/>
      <c r="BI20" s="44"/>
      <c r="BJ20" s="44"/>
      <c r="BK20" s="44"/>
      <c r="BL20" s="44"/>
      <c r="BM20" s="44"/>
      <c r="BN20" s="44"/>
      <c r="BO20" s="44"/>
      <c r="BP20" s="44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</row>
    <row r="21" spans="1:111" ht="15.95">
      <c r="A21" s="9">
        <v>3.1</v>
      </c>
      <c r="B21" s="26" t="s">
        <v>41</v>
      </c>
      <c r="C21" s="10">
        <v>44988</v>
      </c>
      <c r="D21" s="10">
        <v>44997</v>
      </c>
      <c r="E21" s="13"/>
      <c r="F21" s="11">
        <v>9</v>
      </c>
      <c r="G21" s="12">
        <v>0</v>
      </c>
      <c r="H21" s="36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I21" s="37"/>
      <c r="AJ21" s="37"/>
      <c r="AK21" s="37"/>
      <c r="AL21" s="37"/>
      <c r="AM21" s="37"/>
      <c r="AN21" s="37"/>
      <c r="AW21" s="37"/>
      <c r="AX21" s="37"/>
      <c r="AY21" s="37"/>
      <c r="AZ21" s="44"/>
      <c r="BA21" s="44"/>
      <c r="BB21" s="44"/>
      <c r="BC21" s="44"/>
      <c r="BD21" s="44"/>
      <c r="BE21" s="44"/>
      <c r="BF21" s="44"/>
      <c r="BG21" s="44"/>
      <c r="BH21" s="44"/>
      <c r="BI21" s="44"/>
      <c r="BJ21" s="37"/>
      <c r="BK21" s="37"/>
      <c r="BL21" s="37"/>
      <c r="BM21" s="37"/>
      <c r="BN21" s="37"/>
      <c r="BO21" s="37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</row>
    <row r="22" spans="1:111" ht="15.95">
      <c r="A22" s="9">
        <v>3.2</v>
      </c>
      <c r="B22" s="26" t="s">
        <v>42</v>
      </c>
      <c r="C22" s="10">
        <v>44989</v>
      </c>
      <c r="D22" s="10">
        <v>44997</v>
      </c>
      <c r="E22" s="13"/>
      <c r="F22" s="15">
        <v>9</v>
      </c>
      <c r="G22" s="12">
        <v>0</v>
      </c>
      <c r="BA22" s="44"/>
      <c r="BB22" s="44"/>
      <c r="BC22" s="44"/>
      <c r="BD22" s="44"/>
      <c r="BE22" s="44"/>
      <c r="BF22" s="44"/>
      <c r="BG22" s="44"/>
      <c r="BH22" s="44"/>
      <c r="BI22" s="44"/>
    </row>
    <row r="23" spans="1:111" ht="15.95">
      <c r="A23" s="32">
        <v>4</v>
      </c>
      <c r="B23" s="31" t="s">
        <v>43</v>
      </c>
      <c r="C23" s="10">
        <v>44993</v>
      </c>
      <c r="D23" s="10">
        <v>45004</v>
      </c>
      <c r="E23" s="13"/>
      <c r="F23" s="15">
        <v>12</v>
      </c>
      <c r="G23" s="12">
        <v>0</v>
      </c>
      <c r="BE23" s="44"/>
      <c r="BF23" s="44"/>
      <c r="BG23" s="44"/>
      <c r="BH23" s="44"/>
      <c r="BI23" s="44"/>
      <c r="BJ23" s="44"/>
      <c r="BK23" s="44"/>
      <c r="BL23" s="44"/>
      <c r="BM23" s="44"/>
      <c r="BN23" s="44"/>
      <c r="BO23" s="44"/>
      <c r="BP23" s="44"/>
    </row>
    <row r="24" spans="1:111" ht="15.95">
      <c r="A24" s="20">
        <v>4.0999999999999996</v>
      </c>
      <c r="B24" s="26" t="s">
        <v>44</v>
      </c>
      <c r="C24" s="10">
        <v>44993</v>
      </c>
      <c r="D24" s="10">
        <v>44997</v>
      </c>
      <c r="E24" s="13"/>
      <c r="F24" s="15">
        <v>4</v>
      </c>
      <c r="G24" s="12">
        <v>0</v>
      </c>
      <c r="BE24" s="44"/>
      <c r="BF24" s="44"/>
      <c r="BG24" s="44"/>
      <c r="BH24" s="44"/>
      <c r="BI24" s="44"/>
    </row>
    <row r="25" spans="1:111" ht="15.95">
      <c r="A25" s="20">
        <v>4.2</v>
      </c>
      <c r="B25" s="26" t="s">
        <v>45</v>
      </c>
      <c r="C25" s="10">
        <v>44994</v>
      </c>
      <c r="D25" s="10">
        <v>44998</v>
      </c>
      <c r="E25" s="13"/>
      <c r="F25" s="15">
        <v>4</v>
      </c>
      <c r="G25" s="12">
        <v>0</v>
      </c>
      <c r="BF25" s="44"/>
      <c r="BG25" s="44"/>
      <c r="BH25" s="44"/>
      <c r="BI25" s="44"/>
      <c r="BJ25" s="44"/>
    </row>
    <row r="26" spans="1:111" ht="15.95">
      <c r="A26" s="20">
        <v>4.3</v>
      </c>
      <c r="B26" s="26" t="s">
        <v>46</v>
      </c>
      <c r="C26" s="10">
        <v>44999</v>
      </c>
      <c r="D26" s="10">
        <v>45002</v>
      </c>
      <c r="E26" s="13"/>
      <c r="F26" s="15">
        <v>3</v>
      </c>
      <c r="G26" s="12">
        <v>0</v>
      </c>
      <c r="BK26" s="44"/>
      <c r="BL26" s="44"/>
      <c r="BM26" s="44"/>
      <c r="BN26" s="44"/>
    </row>
    <row r="27" spans="1:111" ht="15.95">
      <c r="A27" s="32">
        <v>5</v>
      </c>
      <c r="B27" s="31" t="s">
        <v>47</v>
      </c>
      <c r="C27" s="10">
        <v>45000</v>
      </c>
      <c r="D27" s="10">
        <v>45046</v>
      </c>
      <c r="E27" s="13"/>
      <c r="F27" s="15">
        <v>25</v>
      </c>
      <c r="G27" s="12">
        <v>0</v>
      </c>
      <c r="BL27" s="44"/>
      <c r="BM27" s="44"/>
      <c r="BN27" s="44"/>
      <c r="BO27" s="44"/>
      <c r="BP27" s="44"/>
      <c r="BQ27" s="44"/>
      <c r="BR27" s="44"/>
      <c r="BS27" s="44"/>
      <c r="BT27" s="44"/>
      <c r="BU27" s="44"/>
      <c r="BV27" s="44"/>
      <c r="BW27" s="47"/>
      <c r="BX27" s="47"/>
      <c r="BY27" s="47"/>
      <c r="BZ27" s="47"/>
      <c r="CA27" s="47"/>
      <c r="CB27" s="47"/>
      <c r="CC27" s="47"/>
      <c r="CD27" s="47"/>
      <c r="CE27" s="47"/>
      <c r="CF27" s="47"/>
      <c r="CG27" s="47"/>
      <c r="CH27" s="47"/>
      <c r="CI27" s="47"/>
      <c r="CJ27" s="47"/>
      <c r="CK27" s="47"/>
      <c r="CL27" s="47"/>
      <c r="CM27" s="47"/>
      <c r="CN27" s="47"/>
      <c r="CO27" s="47"/>
      <c r="CP27" s="47"/>
      <c r="CQ27" s="47"/>
      <c r="CR27" s="47"/>
      <c r="CS27" s="47"/>
      <c r="CT27" s="47"/>
      <c r="CU27" s="47"/>
      <c r="CV27" s="47"/>
      <c r="CW27" s="47"/>
      <c r="CX27" s="47"/>
      <c r="CY27" s="47"/>
      <c r="CZ27" s="47"/>
      <c r="DA27" s="47"/>
      <c r="DB27" s="47"/>
      <c r="DC27" s="47"/>
      <c r="DD27" s="47"/>
      <c r="DE27" s="47"/>
      <c r="DF27" s="47"/>
      <c r="DG27" s="47"/>
    </row>
    <row r="28" spans="1:111" ht="15.95">
      <c r="A28" s="20">
        <v>5.0999999999999996</v>
      </c>
      <c r="B28" s="26" t="s">
        <v>48</v>
      </c>
      <c r="C28" s="10">
        <v>45000</v>
      </c>
      <c r="D28" s="10">
        <v>45004</v>
      </c>
      <c r="E28" s="13"/>
      <c r="F28" s="16">
        <v>5</v>
      </c>
      <c r="G28" s="12">
        <v>0</v>
      </c>
      <c r="H28" s="36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BL28" s="47"/>
      <c r="BM28" s="47"/>
      <c r="BN28" s="47"/>
      <c r="BO28" s="47"/>
      <c r="BP28" s="47"/>
    </row>
    <row r="29" spans="1:111" ht="15.95">
      <c r="A29" s="20">
        <v>5.2</v>
      </c>
      <c r="B29" s="26" t="s">
        <v>49</v>
      </c>
      <c r="C29" s="10">
        <v>45005</v>
      </c>
      <c r="D29" s="10">
        <v>45009</v>
      </c>
      <c r="E29" s="13"/>
      <c r="F29" s="15">
        <v>5</v>
      </c>
      <c r="G29" s="12">
        <v>0</v>
      </c>
      <c r="BQ29" s="47"/>
      <c r="BR29" s="47"/>
      <c r="BS29" s="47"/>
      <c r="BT29" s="47"/>
      <c r="BU29" s="47"/>
    </row>
    <row r="30" spans="1:111" ht="15.95">
      <c r="A30" s="20">
        <v>5.3</v>
      </c>
      <c r="B30" s="26" t="s">
        <v>50</v>
      </c>
      <c r="C30" s="10">
        <v>45033</v>
      </c>
      <c r="D30" s="10">
        <v>45036</v>
      </c>
      <c r="E30" s="13"/>
      <c r="F30" s="15">
        <v>4</v>
      </c>
      <c r="G30" s="12">
        <v>0</v>
      </c>
    </row>
  </sheetData>
  <phoneticPr fontId="5" type="noConversion"/>
  <conditionalFormatting sqref="G11:G30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{1BAB70B0-643D-BA47-897C-C0D5B54B22F9}</x14:id>
        </ext>
      </extLst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BAB70B0-643D-BA47-897C-C0D5B54B22F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G11:G30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FA41C-8920-CC4D-9A3C-947A6628EB10}">
  <dimension ref="A1:H54"/>
  <sheetViews>
    <sheetView zoomScaleNormal="100" workbookViewId="0">
      <pane ySplit="1" topLeftCell="D51" activePane="bottomLeft" state="frozen"/>
      <selection pane="bottomLeft" activeCell="D51" sqref="D51:D53"/>
    </sheetView>
  </sheetViews>
  <sheetFormatPr defaultColWidth="8.85546875" defaultRowHeight="15"/>
  <cols>
    <col min="2" max="2" width="32" customWidth="1"/>
    <col min="4" max="4" width="70.42578125" customWidth="1"/>
    <col min="5" max="5" width="18.140625" customWidth="1"/>
    <col min="7" max="7" width="13.140625" customWidth="1"/>
  </cols>
  <sheetData>
    <row r="1" spans="1:8" ht="32.25">
      <c r="A1" s="27" t="s">
        <v>149</v>
      </c>
      <c r="B1" s="27" t="s">
        <v>150</v>
      </c>
      <c r="C1" s="27" t="s">
        <v>151</v>
      </c>
      <c r="D1" s="27" t="s">
        <v>152</v>
      </c>
      <c r="E1" s="27" t="s">
        <v>153</v>
      </c>
      <c r="F1" s="55" t="s">
        <v>154</v>
      </c>
      <c r="G1" s="55" t="s">
        <v>155</v>
      </c>
      <c r="H1" s="55" t="s">
        <v>28</v>
      </c>
    </row>
    <row r="2" spans="1:8" ht="32.1">
      <c r="A2" s="52">
        <v>1</v>
      </c>
      <c r="B2" s="52" t="s">
        <v>31</v>
      </c>
    </row>
    <row r="3" spans="1:8" ht="32.1">
      <c r="A3" s="29">
        <v>1.1000000000000001</v>
      </c>
      <c r="B3" s="53" t="s">
        <v>156</v>
      </c>
      <c r="C3" s="29"/>
      <c r="D3" s="29" t="s">
        <v>157</v>
      </c>
      <c r="E3" s="29"/>
    </row>
    <row r="4" spans="1:8" ht="15.95">
      <c r="A4" s="29"/>
      <c r="B4" s="54"/>
      <c r="C4" s="29"/>
      <c r="D4" s="29" t="s">
        <v>158</v>
      </c>
      <c r="E4" s="29"/>
    </row>
    <row r="5" spans="1:8" ht="32.1">
      <c r="A5" s="29"/>
      <c r="B5" s="54"/>
      <c r="C5" s="29"/>
      <c r="D5" s="29" t="s">
        <v>159</v>
      </c>
      <c r="E5" s="29"/>
    </row>
    <row r="6" spans="1:8" ht="32.1">
      <c r="A6" s="29">
        <v>1.2</v>
      </c>
      <c r="B6" s="53" t="s">
        <v>160</v>
      </c>
      <c r="C6" s="29"/>
      <c r="D6" s="29" t="s">
        <v>161</v>
      </c>
    </row>
    <row r="7" spans="1:8" ht="15.95">
      <c r="A7" s="29"/>
      <c r="B7" s="54"/>
      <c r="C7" s="29"/>
      <c r="D7" s="29" t="s">
        <v>162</v>
      </c>
    </row>
    <row r="8" spans="1:8" ht="15.95">
      <c r="A8" s="29"/>
      <c r="B8" s="54"/>
      <c r="D8" s="29" t="s">
        <v>163</v>
      </c>
    </row>
    <row r="9" spans="1:8" ht="15.95">
      <c r="A9" s="29"/>
      <c r="B9" s="54"/>
      <c r="C9" s="29"/>
      <c r="D9" s="29" t="s">
        <v>164</v>
      </c>
    </row>
    <row r="10" spans="1:8">
      <c r="A10" s="29">
        <v>1.3</v>
      </c>
      <c r="B10" s="54" t="s">
        <v>165</v>
      </c>
      <c r="D10" s="29" t="s">
        <v>166</v>
      </c>
    </row>
    <row r="11" spans="1:8">
      <c r="A11" s="29"/>
      <c r="B11" s="29"/>
      <c r="C11" s="29"/>
      <c r="D11" s="29" t="s">
        <v>167</v>
      </c>
    </row>
    <row r="12" spans="1:8" ht="30.75">
      <c r="A12" s="29"/>
      <c r="B12" s="29"/>
      <c r="C12" s="29"/>
      <c r="D12" s="29" t="s">
        <v>168</v>
      </c>
    </row>
    <row r="13" spans="1:8" ht="30.75">
      <c r="A13" s="29"/>
      <c r="B13" s="29"/>
      <c r="C13" s="29"/>
      <c r="D13" s="29" t="s">
        <v>169</v>
      </c>
    </row>
    <row r="14" spans="1:8" ht="30.75">
      <c r="A14" s="52">
        <v>2</v>
      </c>
      <c r="B14" s="52" t="s">
        <v>35</v>
      </c>
    </row>
    <row r="15" spans="1:8" ht="30.75">
      <c r="A15" s="54">
        <v>2.1</v>
      </c>
      <c r="B15" s="54" t="s">
        <v>170</v>
      </c>
      <c r="C15" s="29"/>
      <c r="D15" s="29" t="s">
        <v>171</v>
      </c>
    </row>
    <row r="16" spans="1:8" ht="30.75">
      <c r="A16" s="54"/>
      <c r="B16" s="54"/>
      <c r="C16" s="29"/>
      <c r="D16" s="29" t="s">
        <v>172</v>
      </c>
    </row>
    <row r="17" spans="1:4" ht="30.75">
      <c r="A17" s="54">
        <v>2.2000000000000002</v>
      </c>
      <c r="B17" s="54" t="s">
        <v>173</v>
      </c>
      <c r="D17" s="29" t="s">
        <v>174</v>
      </c>
    </row>
    <row r="18" spans="1:4" ht="30.75">
      <c r="A18" s="54"/>
      <c r="B18" s="54"/>
      <c r="C18" s="29"/>
      <c r="D18" s="29" t="s">
        <v>175</v>
      </c>
    </row>
    <row r="19" spans="1:4">
      <c r="A19" s="54"/>
      <c r="B19" s="54"/>
      <c r="C19" s="29"/>
      <c r="D19" s="29" t="s">
        <v>176</v>
      </c>
    </row>
    <row r="20" spans="1:4" ht="30.75">
      <c r="A20" s="54">
        <v>2.2999999999999998</v>
      </c>
      <c r="B20" s="54" t="s">
        <v>177</v>
      </c>
      <c r="D20" s="29" t="s">
        <v>178</v>
      </c>
    </row>
    <row r="21" spans="1:4">
      <c r="A21" s="29"/>
      <c r="B21" s="29"/>
      <c r="C21" s="29"/>
      <c r="D21" s="29" t="s">
        <v>179</v>
      </c>
    </row>
    <row r="22" spans="1:4">
      <c r="A22" s="29"/>
      <c r="B22" s="29"/>
      <c r="C22" s="29"/>
      <c r="D22" s="29" t="s">
        <v>180</v>
      </c>
    </row>
    <row r="23" spans="1:4">
      <c r="A23" s="29"/>
      <c r="B23" s="29"/>
      <c r="C23" s="29"/>
      <c r="D23" s="29" t="s">
        <v>181</v>
      </c>
    </row>
    <row r="24" spans="1:4" ht="30.75">
      <c r="A24" s="29"/>
      <c r="B24" s="29"/>
      <c r="C24" s="29"/>
      <c r="D24" s="29" t="s">
        <v>182</v>
      </c>
    </row>
    <row r="25" spans="1:4" ht="45.75">
      <c r="A25" s="52">
        <v>3</v>
      </c>
      <c r="B25" s="52" t="s">
        <v>40</v>
      </c>
    </row>
    <row r="26" spans="1:4">
      <c r="A26" s="54">
        <v>3.1</v>
      </c>
      <c r="B26" s="54" t="s">
        <v>183</v>
      </c>
      <c r="D26" s="29" t="s">
        <v>184</v>
      </c>
    </row>
    <row r="27" spans="1:4" ht="30.75">
      <c r="A27" s="54"/>
      <c r="B27" s="54"/>
      <c r="D27" s="29" t="s">
        <v>185</v>
      </c>
    </row>
    <row r="28" spans="1:4">
      <c r="A28" s="54"/>
      <c r="B28" s="54"/>
      <c r="D28" s="29" t="s">
        <v>186</v>
      </c>
    </row>
    <row r="29" spans="1:4" ht="30.75">
      <c r="A29" s="54">
        <v>3.2</v>
      </c>
      <c r="B29" s="54" t="s">
        <v>187</v>
      </c>
      <c r="D29" s="29" t="s">
        <v>188</v>
      </c>
    </row>
    <row r="30" spans="1:4">
      <c r="A30" s="54"/>
      <c r="B30" s="54"/>
      <c r="D30" s="29" t="s">
        <v>189</v>
      </c>
    </row>
    <row r="31" spans="1:4" ht="30.75">
      <c r="A31" s="54"/>
      <c r="B31" s="54"/>
      <c r="D31" s="29" t="s">
        <v>190</v>
      </c>
    </row>
    <row r="32" spans="1:4">
      <c r="A32" s="54">
        <v>3.3</v>
      </c>
      <c r="B32" s="54" t="s">
        <v>191</v>
      </c>
      <c r="D32" s="29" t="s">
        <v>192</v>
      </c>
    </row>
    <row r="33" spans="1:4" ht="30.75">
      <c r="A33" s="54"/>
      <c r="B33" s="54"/>
      <c r="D33" s="29" t="s">
        <v>193</v>
      </c>
    </row>
    <row r="34" spans="1:4">
      <c r="A34" s="54"/>
      <c r="B34" s="54"/>
      <c r="D34" s="29" t="s">
        <v>194</v>
      </c>
    </row>
    <row r="35" spans="1:4" ht="45.75">
      <c r="A35" s="54">
        <v>4.0999999999999996</v>
      </c>
      <c r="B35" s="54" t="s">
        <v>195</v>
      </c>
      <c r="D35" s="29" t="s">
        <v>84</v>
      </c>
    </row>
    <row r="36" spans="1:4">
      <c r="A36" s="54"/>
      <c r="B36" s="54"/>
      <c r="D36" s="29" t="s">
        <v>196</v>
      </c>
    </row>
    <row r="37" spans="1:4">
      <c r="A37" s="54"/>
      <c r="B37" s="54"/>
      <c r="D37" s="29" t="s">
        <v>197</v>
      </c>
    </row>
    <row r="38" spans="1:4" ht="30.75">
      <c r="A38" s="54">
        <v>4.2</v>
      </c>
      <c r="B38" s="54" t="s">
        <v>198</v>
      </c>
      <c r="D38" s="29" t="s">
        <v>199</v>
      </c>
    </row>
    <row r="39" spans="1:4" ht="30.75">
      <c r="A39" s="54"/>
      <c r="B39" s="54"/>
      <c r="D39" s="29" t="s">
        <v>70</v>
      </c>
    </row>
    <row r="40" spans="1:4">
      <c r="A40" s="54"/>
      <c r="B40" s="54"/>
      <c r="D40" s="29" t="s">
        <v>86</v>
      </c>
    </row>
    <row r="41" spans="1:4" ht="30.75">
      <c r="A41" s="54">
        <v>4.3</v>
      </c>
      <c r="B41" s="54" t="s">
        <v>107</v>
      </c>
      <c r="D41" s="29" t="s">
        <v>200</v>
      </c>
    </row>
    <row r="42" spans="1:4">
      <c r="A42" s="29"/>
      <c r="B42" s="29"/>
      <c r="D42" s="29" t="s">
        <v>113</v>
      </c>
    </row>
    <row r="43" spans="1:4">
      <c r="A43" s="29"/>
      <c r="B43" s="29"/>
      <c r="D43" s="29" t="s">
        <v>201</v>
      </c>
    </row>
    <row r="44" spans="1:4" ht="30.75">
      <c r="A44" s="52">
        <v>5</v>
      </c>
      <c r="B44" s="52" t="s">
        <v>47</v>
      </c>
    </row>
    <row r="45" spans="1:4" ht="30.75">
      <c r="A45" s="29">
        <v>5.0999999999999996</v>
      </c>
      <c r="B45" s="54" t="s">
        <v>202</v>
      </c>
      <c r="D45" s="29" t="s">
        <v>203</v>
      </c>
    </row>
    <row r="46" spans="1:4" ht="30.75">
      <c r="A46" s="29"/>
      <c r="B46" s="54"/>
      <c r="D46" s="29" t="s">
        <v>204</v>
      </c>
    </row>
    <row r="47" spans="1:4" ht="30.75">
      <c r="A47" s="29"/>
      <c r="B47" s="54"/>
      <c r="D47" s="29" t="s">
        <v>205</v>
      </c>
    </row>
    <row r="48" spans="1:4" ht="30.75">
      <c r="A48" s="29">
        <v>5.2</v>
      </c>
      <c r="B48" s="54" t="s">
        <v>206</v>
      </c>
      <c r="D48" s="29" t="s">
        <v>207</v>
      </c>
    </row>
    <row r="49" spans="1:4" ht="30.75">
      <c r="A49" s="29"/>
      <c r="B49" s="54"/>
      <c r="D49" s="29" t="s">
        <v>208</v>
      </c>
    </row>
    <row r="50" spans="1:4" ht="30.75">
      <c r="A50" s="29"/>
      <c r="B50" s="54"/>
      <c r="D50" s="29" t="s">
        <v>209</v>
      </c>
    </row>
    <row r="51" spans="1:4" ht="30.75">
      <c r="A51" s="29">
        <v>5.3</v>
      </c>
      <c r="B51" s="54" t="s">
        <v>210</v>
      </c>
      <c r="D51" s="29" t="s">
        <v>211</v>
      </c>
    </row>
    <row r="52" spans="1:4">
      <c r="A52" s="29"/>
      <c r="B52" s="54"/>
      <c r="D52" s="29" t="s">
        <v>123</v>
      </c>
    </row>
    <row r="53" spans="1:4" ht="30.75">
      <c r="A53" s="29"/>
      <c r="B53" s="54"/>
      <c r="D53" s="29" t="s">
        <v>212</v>
      </c>
    </row>
    <row r="54" spans="1:4">
      <c r="B54" s="56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0"/>
  <sheetViews>
    <sheetView zoomScale="137" zoomScaleNormal="100" workbookViewId="0">
      <pane ySplit="1" topLeftCell="A33" activePane="bottomLeft" state="frozen"/>
      <selection pane="bottomLeft" activeCell="A33" sqref="A33:B33"/>
    </sheetView>
  </sheetViews>
  <sheetFormatPr defaultColWidth="8.85546875" defaultRowHeight="15"/>
  <cols>
    <col min="2" max="2" width="32" customWidth="1"/>
    <col min="3" max="3" width="37.7109375" customWidth="1"/>
    <col min="5" max="5" width="24.85546875" customWidth="1"/>
    <col min="6" max="6" width="87.28515625" customWidth="1"/>
    <col min="11" max="11" width="41.28515625" customWidth="1"/>
  </cols>
  <sheetData>
    <row r="1" spans="1:11" ht="33.950000000000003">
      <c r="A1" s="27" t="s">
        <v>149</v>
      </c>
      <c r="B1" s="27" t="s">
        <v>150</v>
      </c>
      <c r="C1" s="27" t="s">
        <v>213</v>
      </c>
      <c r="D1" s="27" t="s">
        <v>151</v>
      </c>
      <c r="E1" s="27" t="s">
        <v>152</v>
      </c>
      <c r="F1" s="27" t="s">
        <v>214</v>
      </c>
      <c r="G1" s="28" t="s">
        <v>215</v>
      </c>
      <c r="H1" s="28" t="s">
        <v>29</v>
      </c>
      <c r="I1" s="28" t="s">
        <v>216</v>
      </c>
      <c r="J1" s="28" t="s">
        <v>217</v>
      </c>
      <c r="K1" s="28" t="s">
        <v>218</v>
      </c>
    </row>
    <row r="2" spans="1:11" ht="48">
      <c r="A2" s="29">
        <v>1</v>
      </c>
      <c r="B2" s="29" t="s">
        <v>31</v>
      </c>
      <c r="C2" s="29" t="s">
        <v>219</v>
      </c>
      <c r="D2" s="29">
        <v>1.1000000000000001</v>
      </c>
      <c r="E2" s="29" t="s">
        <v>156</v>
      </c>
      <c r="F2" s="29" t="s">
        <v>157</v>
      </c>
      <c r="G2" s="30"/>
      <c r="H2" s="30"/>
      <c r="I2" s="30"/>
      <c r="J2" s="30"/>
      <c r="K2" s="30"/>
    </row>
    <row r="3" spans="1:11" ht="15.95">
      <c r="A3" s="29"/>
      <c r="B3" s="29"/>
      <c r="C3" s="29"/>
      <c r="D3" s="29"/>
      <c r="E3" s="29"/>
      <c r="F3" s="29" t="s">
        <v>158</v>
      </c>
      <c r="G3" s="30"/>
      <c r="H3" s="30"/>
      <c r="I3" s="30"/>
      <c r="J3" s="30"/>
      <c r="K3" s="30"/>
    </row>
    <row r="4" spans="1:11" ht="32.1">
      <c r="A4" s="29"/>
      <c r="B4" s="29"/>
      <c r="C4" s="29"/>
      <c r="D4" s="29"/>
      <c r="E4" s="29"/>
      <c r="F4" s="29" t="s">
        <v>159</v>
      </c>
      <c r="G4" s="30"/>
      <c r="H4" s="30"/>
      <c r="I4" s="30"/>
      <c r="J4" s="30"/>
      <c r="K4" s="30"/>
    </row>
    <row r="5" spans="1:11" ht="32.1">
      <c r="A5" s="29"/>
      <c r="B5" s="29"/>
      <c r="C5" s="29"/>
      <c r="D5" s="29">
        <v>1.2</v>
      </c>
      <c r="E5" s="29" t="s">
        <v>160</v>
      </c>
      <c r="F5" s="29" t="s">
        <v>161</v>
      </c>
      <c r="G5" s="30"/>
      <c r="H5" s="30"/>
      <c r="I5" s="30"/>
      <c r="J5" s="30"/>
      <c r="K5" s="30"/>
    </row>
    <row r="6" spans="1:11" ht="15.95">
      <c r="A6" s="29"/>
      <c r="B6" s="29"/>
      <c r="C6" s="29"/>
      <c r="D6" s="29"/>
      <c r="E6" s="29"/>
      <c r="F6" s="29" t="s">
        <v>162</v>
      </c>
      <c r="G6" s="30"/>
      <c r="H6" s="30"/>
      <c r="I6" s="30"/>
      <c r="J6" s="30"/>
      <c r="K6" s="30"/>
    </row>
    <row r="7" spans="1:11" ht="15.95">
      <c r="A7" s="29"/>
      <c r="B7" s="29"/>
      <c r="C7" s="29"/>
      <c r="D7" s="29"/>
      <c r="E7" s="29"/>
      <c r="F7" s="29" t="s">
        <v>163</v>
      </c>
      <c r="G7" s="30"/>
      <c r="H7" s="30"/>
      <c r="I7" s="30"/>
      <c r="J7" s="30"/>
      <c r="K7" s="30"/>
    </row>
    <row r="8" spans="1:11" ht="15.95">
      <c r="A8" s="29"/>
      <c r="B8" s="29"/>
      <c r="C8" s="29"/>
      <c r="D8" s="29"/>
      <c r="E8" s="29"/>
      <c r="F8" s="29" t="s">
        <v>164</v>
      </c>
      <c r="G8" s="30"/>
      <c r="H8" s="30"/>
      <c r="I8" s="30"/>
      <c r="J8" s="30"/>
      <c r="K8" s="30"/>
    </row>
    <row r="9" spans="1:11" ht="32.1">
      <c r="A9" s="29"/>
      <c r="B9" s="29"/>
      <c r="C9" s="29"/>
      <c r="D9" s="29">
        <v>1.3</v>
      </c>
      <c r="E9" s="29" t="s">
        <v>165</v>
      </c>
      <c r="F9" s="29" t="s">
        <v>166</v>
      </c>
      <c r="G9" s="30"/>
      <c r="H9" s="30"/>
      <c r="I9" s="30"/>
      <c r="J9" s="30"/>
      <c r="K9" s="30"/>
    </row>
    <row r="10" spans="1:11" ht="15.95">
      <c r="A10" s="29"/>
      <c r="B10" s="29"/>
      <c r="C10" s="29"/>
      <c r="D10" s="29"/>
      <c r="E10" s="29"/>
      <c r="F10" s="29" t="s">
        <v>167</v>
      </c>
      <c r="G10" s="30"/>
      <c r="H10" s="30"/>
      <c r="I10" s="30"/>
      <c r="J10" s="30"/>
      <c r="K10" s="30"/>
    </row>
    <row r="11" spans="1:11" ht="15.95">
      <c r="A11" s="29"/>
      <c r="B11" s="29"/>
      <c r="C11" s="29"/>
      <c r="D11" s="29"/>
      <c r="E11" s="29"/>
      <c r="F11" s="29" t="s">
        <v>168</v>
      </c>
      <c r="G11" s="30"/>
      <c r="H11" s="30"/>
      <c r="I11" s="30"/>
      <c r="J11" s="30"/>
      <c r="K11" s="30"/>
    </row>
    <row r="12" spans="1:11" ht="15.95">
      <c r="A12" s="29"/>
      <c r="B12" s="29"/>
      <c r="C12" s="29"/>
      <c r="D12" s="29"/>
      <c r="E12" s="29"/>
      <c r="F12" s="29" t="s">
        <v>169</v>
      </c>
      <c r="G12" s="30"/>
      <c r="H12" s="30"/>
      <c r="I12" s="30"/>
      <c r="J12" s="30"/>
      <c r="K12" s="30"/>
    </row>
    <row r="13" spans="1:11" ht="32.1">
      <c r="A13" s="29">
        <v>2</v>
      </c>
      <c r="B13" s="29" t="s">
        <v>35</v>
      </c>
      <c r="C13" s="29" t="s">
        <v>220</v>
      </c>
      <c r="D13" s="29">
        <v>2.1</v>
      </c>
      <c r="E13" s="29" t="s">
        <v>170</v>
      </c>
      <c r="F13" s="29" t="s">
        <v>171</v>
      </c>
      <c r="G13" s="30"/>
      <c r="H13" s="30"/>
      <c r="I13" s="30"/>
      <c r="J13" s="30"/>
      <c r="K13" s="30"/>
    </row>
    <row r="14" spans="1:11" ht="15.95">
      <c r="A14" s="29"/>
      <c r="B14" s="29"/>
      <c r="C14" s="29"/>
      <c r="D14" s="29"/>
      <c r="E14" s="29"/>
      <c r="F14" s="29" t="s">
        <v>172</v>
      </c>
      <c r="G14" s="30"/>
      <c r="H14" s="30"/>
      <c r="I14" s="30"/>
      <c r="J14" s="30"/>
      <c r="K14" s="30"/>
    </row>
    <row r="15" spans="1:11" ht="15.95">
      <c r="A15" s="29"/>
      <c r="B15" s="29"/>
      <c r="C15" s="29"/>
      <c r="D15" s="29"/>
      <c r="E15" s="29"/>
      <c r="F15" s="29" t="s">
        <v>174</v>
      </c>
      <c r="G15" s="30"/>
      <c r="H15" s="30"/>
      <c r="I15" s="30"/>
      <c r="J15" s="30"/>
      <c r="K15" s="30"/>
    </row>
    <row r="16" spans="1:11" ht="48">
      <c r="A16" s="29"/>
      <c r="B16" s="29"/>
      <c r="C16" s="29"/>
      <c r="D16" s="29">
        <v>2.2000000000000002</v>
      </c>
      <c r="E16" s="29" t="s">
        <v>173</v>
      </c>
      <c r="F16" s="29" t="s">
        <v>175</v>
      </c>
      <c r="G16" s="30"/>
      <c r="H16" s="30"/>
      <c r="I16" s="30"/>
      <c r="J16" s="30"/>
      <c r="K16" s="30"/>
    </row>
    <row r="17" spans="1:11" ht="15.95">
      <c r="A17" s="29"/>
      <c r="B17" s="29"/>
      <c r="C17" s="29"/>
      <c r="D17" s="29"/>
      <c r="E17" s="29"/>
      <c r="F17" s="29" t="s">
        <v>176</v>
      </c>
      <c r="G17" s="30"/>
      <c r="H17" s="30"/>
      <c r="I17" s="30"/>
      <c r="J17" s="30"/>
      <c r="K17" s="30"/>
    </row>
    <row r="18" spans="1:11" ht="15.95">
      <c r="A18" s="29"/>
      <c r="B18" s="29"/>
      <c r="C18" s="29"/>
      <c r="D18" s="29"/>
      <c r="E18" s="29"/>
      <c r="F18" s="29" t="s">
        <v>178</v>
      </c>
      <c r="G18" s="30"/>
      <c r="H18" s="30"/>
      <c r="I18" s="30"/>
      <c r="J18" s="30"/>
      <c r="K18" s="30"/>
    </row>
    <row r="19" spans="1:11" ht="32.1">
      <c r="A19" s="29"/>
      <c r="B19" s="29"/>
      <c r="C19" s="29"/>
      <c r="D19" s="29">
        <v>2.2999999999999998</v>
      </c>
      <c r="E19" s="29" t="s">
        <v>177</v>
      </c>
      <c r="F19" s="29" t="s">
        <v>179</v>
      </c>
      <c r="G19" s="30"/>
      <c r="H19" s="30"/>
      <c r="I19" s="30"/>
      <c r="J19" s="30"/>
      <c r="K19" s="30"/>
    </row>
    <row r="20" spans="1:11" ht="15.95">
      <c r="A20" s="29"/>
      <c r="B20" s="29"/>
      <c r="C20" s="29"/>
      <c r="D20" s="29"/>
      <c r="E20" s="29"/>
      <c r="F20" s="29" t="s">
        <v>180</v>
      </c>
      <c r="G20" s="30"/>
      <c r="H20" s="30"/>
      <c r="I20" s="30"/>
      <c r="J20" s="30"/>
      <c r="K20" s="30"/>
    </row>
    <row r="21" spans="1:11" ht="15.95">
      <c r="A21" s="29"/>
      <c r="B21" s="29"/>
      <c r="C21" s="29"/>
      <c r="D21" s="29"/>
      <c r="E21" s="29"/>
      <c r="F21" s="29" t="s">
        <v>181</v>
      </c>
      <c r="G21" s="30"/>
      <c r="H21" s="30"/>
      <c r="I21" s="30"/>
      <c r="J21" s="30"/>
      <c r="K21" s="30"/>
    </row>
    <row r="22" spans="1:11" ht="15.95">
      <c r="A22" s="29"/>
      <c r="B22" s="29"/>
      <c r="C22" s="29"/>
      <c r="D22" s="29"/>
      <c r="E22" s="29"/>
      <c r="F22" s="29" t="s">
        <v>182</v>
      </c>
      <c r="G22" s="30"/>
      <c r="H22" s="30"/>
      <c r="I22" s="30"/>
      <c r="J22" s="30"/>
      <c r="K22" s="30"/>
    </row>
    <row r="23" spans="1:11" ht="63.95">
      <c r="A23" s="29">
        <v>3</v>
      </c>
      <c r="B23" s="29" t="s">
        <v>40</v>
      </c>
      <c r="C23" s="29" t="s">
        <v>221</v>
      </c>
      <c r="D23" s="29">
        <v>3.1</v>
      </c>
      <c r="E23" s="29" t="s">
        <v>183</v>
      </c>
      <c r="F23" s="29" t="s">
        <v>184</v>
      </c>
      <c r="G23" s="30"/>
      <c r="H23" s="30"/>
      <c r="I23" s="30"/>
      <c r="J23" s="30"/>
      <c r="K23" s="30"/>
    </row>
    <row r="24" spans="1:11" ht="15.95">
      <c r="A24" s="29"/>
      <c r="B24" s="29"/>
      <c r="C24" s="29"/>
      <c r="D24" s="29"/>
      <c r="E24" s="29"/>
      <c r="F24" s="29" t="s">
        <v>185</v>
      </c>
      <c r="G24" s="30"/>
      <c r="H24" s="30"/>
      <c r="I24" s="30"/>
      <c r="J24" s="30"/>
      <c r="K24" s="30"/>
    </row>
    <row r="25" spans="1:11" ht="15.95">
      <c r="A25" s="29"/>
      <c r="B25" s="29"/>
      <c r="C25" s="29"/>
      <c r="D25" s="29"/>
      <c r="E25" s="29"/>
      <c r="F25" s="29" t="s">
        <v>186</v>
      </c>
      <c r="G25" s="30"/>
      <c r="H25" s="30"/>
      <c r="I25" s="30"/>
      <c r="J25" s="30"/>
      <c r="K25" s="30"/>
    </row>
    <row r="26" spans="1:11" ht="32.1">
      <c r="A26" s="29"/>
      <c r="B26" s="29"/>
      <c r="C26" s="29"/>
      <c r="D26" s="29">
        <v>3.2</v>
      </c>
      <c r="E26" s="29" t="s">
        <v>187</v>
      </c>
      <c r="F26" s="29" t="s">
        <v>188</v>
      </c>
      <c r="G26" s="30"/>
      <c r="H26" s="30"/>
      <c r="I26" s="30"/>
      <c r="J26" s="30"/>
      <c r="K26" s="30"/>
    </row>
    <row r="27" spans="1:11" ht="15.95">
      <c r="A27" s="29"/>
      <c r="B27" s="29"/>
      <c r="C27" s="29"/>
      <c r="D27" s="29"/>
      <c r="E27" s="29"/>
      <c r="F27" s="29" t="s">
        <v>189</v>
      </c>
      <c r="G27" s="30"/>
      <c r="H27" s="30"/>
      <c r="I27" s="30"/>
      <c r="J27" s="30"/>
      <c r="K27" s="30"/>
    </row>
    <row r="28" spans="1:11" ht="15.95">
      <c r="A28" s="29"/>
      <c r="B28" s="29"/>
      <c r="C28" s="29"/>
      <c r="D28" s="29"/>
      <c r="E28" s="29"/>
      <c r="F28" s="29" t="s">
        <v>190</v>
      </c>
      <c r="G28" s="30"/>
      <c r="H28" s="30"/>
      <c r="I28" s="30"/>
      <c r="J28" s="30"/>
      <c r="K28" s="30"/>
    </row>
    <row r="29" spans="1:11" ht="32.1">
      <c r="A29" s="29"/>
      <c r="B29" s="29"/>
      <c r="C29" s="29"/>
      <c r="D29" s="29">
        <v>3.3</v>
      </c>
      <c r="E29" s="29" t="s">
        <v>191</v>
      </c>
      <c r="F29" s="29" t="s">
        <v>192</v>
      </c>
      <c r="G29" s="30"/>
      <c r="H29" s="30"/>
      <c r="I29" s="30"/>
      <c r="J29" s="30"/>
      <c r="K29" s="30"/>
    </row>
    <row r="30" spans="1:11" ht="15.95">
      <c r="A30" s="29"/>
      <c r="B30" s="29"/>
      <c r="C30" s="29"/>
      <c r="D30" s="29"/>
      <c r="E30" s="29"/>
      <c r="F30" s="29" t="s">
        <v>193</v>
      </c>
      <c r="G30" s="30"/>
      <c r="H30" s="30"/>
      <c r="I30" s="30"/>
      <c r="J30" s="30"/>
      <c r="K30" s="30"/>
    </row>
    <row r="31" spans="1:11" ht="15.95">
      <c r="A31" s="29"/>
      <c r="B31" s="29"/>
      <c r="C31" s="29"/>
      <c r="D31" s="29"/>
      <c r="E31" s="29"/>
      <c r="F31" s="29" t="s">
        <v>194</v>
      </c>
      <c r="G31" s="30"/>
      <c r="H31" s="30"/>
      <c r="I31" s="30"/>
      <c r="J31" s="30"/>
      <c r="K31" s="30"/>
    </row>
    <row r="32" spans="1:11" ht="15.95">
      <c r="A32" s="29"/>
      <c r="B32" s="29"/>
      <c r="C32" s="29"/>
      <c r="D32" s="29"/>
      <c r="E32" s="29"/>
      <c r="F32" s="29" t="s">
        <v>195</v>
      </c>
      <c r="G32" s="30"/>
      <c r="H32" s="30"/>
      <c r="I32" s="30"/>
      <c r="J32" s="30"/>
      <c r="K32" s="30"/>
    </row>
    <row r="33" spans="1:11" ht="32.1">
      <c r="A33" s="29">
        <v>4</v>
      </c>
      <c r="B33" s="29" t="s">
        <v>43</v>
      </c>
      <c r="C33" s="29" t="s">
        <v>222</v>
      </c>
      <c r="D33" s="29">
        <v>4.0999999999999996</v>
      </c>
      <c r="E33" s="29" t="s">
        <v>44</v>
      </c>
      <c r="F33" s="29" t="s">
        <v>84</v>
      </c>
      <c r="G33" s="30"/>
      <c r="H33" s="30"/>
      <c r="I33" s="30"/>
      <c r="J33" s="30"/>
      <c r="K33" s="30"/>
    </row>
    <row r="34" spans="1:11" ht="15.95">
      <c r="A34" s="29"/>
      <c r="B34" s="29"/>
      <c r="C34" s="29"/>
      <c r="D34" s="29"/>
      <c r="E34" s="29"/>
      <c r="F34" s="29" t="s">
        <v>196</v>
      </c>
      <c r="G34" s="30"/>
      <c r="H34" s="30"/>
      <c r="I34" s="30"/>
      <c r="J34" s="30"/>
      <c r="K34" s="30"/>
    </row>
    <row r="35" spans="1:11" ht="15.95">
      <c r="A35" s="29"/>
      <c r="B35" s="29"/>
      <c r="C35" s="29"/>
      <c r="D35" s="29"/>
      <c r="E35" s="29"/>
      <c r="F35" s="29" t="s">
        <v>197</v>
      </c>
      <c r="G35" s="30"/>
      <c r="H35" s="30"/>
      <c r="I35" s="30"/>
      <c r="J35" s="30"/>
      <c r="K35" s="30"/>
    </row>
    <row r="36" spans="1:11" ht="32.1">
      <c r="A36" s="29"/>
      <c r="B36" s="29"/>
      <c r="C36" s="29"/>
      <c r="D36" s="29">
        <v>4.2</v>
      </c>
      <c r="E36" s="29" t="s">
        <v>198</v>
      </c>
      <c r="F36" s="29" t="s">
        <v>199</v>
      </c>
      <c r="G36" s="30"/>
      <c r="H36" s="30"/>
      <c r="I36" s="30"/>
      <c r="J36" s="30"/>
      <c r="K36" s="30"/>
    </row>
    <row r="37" spans="1:11" ht="15.95">
      <c r="A37" s="29"/>
      <c r="B37" s="29"/>
      <c r="C37" s="29"/>
      <c r="D37" s="29"/>
      <c r="E37" s="29"/>
      <c r="F37" s="29" t="s">
        <v>70</v>
      </c>
      <c r="G37" s="30"/>
      <c r="H37" s="30"/>
      <c r="I37" s="30"/>
      <c r="J37" s="30"/>
      <c r="K37" s="30"/>
    </row>
    <row r="38" spans="1:11" ht="15.95">
      <c r="A38" s="29"/>
      <c r="B38" s="29"/>
      <c r="C38" s="29"/>
      <c r="D38" s="29"/>
      <c r="E38" s="29"/>
      <c r="F38" s="29" t="s">
        <v>86</v>
      </c>
      <c r="G38" s="30"/>
      <c r="H38" s="30"/>
      <c r="I38" s="30"/>
      <c r="J38" s="30"/>
      <c r="K38" s="30"/>
    </row>
    <row r="39" spans="1:11" ht="32.1">
      <c r="A39" s="29"/>
      <c r="B39" s="29"/>
      <c r="C39" s="29"/>
      <c r="D39" s="29">
        <v>4.3</v>
      </c>
      <c r="E39" s="29" t="s">
        <v>107</v>
      </c>
      <c r="F39" s="29" t="s">
        <v>200</v>
      </c>
      <c r="G39" s="30"/>
      <c r="H39" s="30"/>
      <c r="I39" s="30"/>
      <c r="J39" s="30"/>
      <c r="K39" s="30"/>
    </row>
    <row r="40" spans="1:11" ht="15.95">
      <c r="A40" s="29"/>
      <c r="B40" s="29"/>
      <c r="C40" s="29"/>
      <c r="D40" s="29"/>
      <c r="E40" s="29"/>
      <c r="F40" s="29" t="s">
        <v>113</v>
      </c>
      <c r="G40" s="30"/>
      <c r="H40" s="30"/>
      <c r="I40" s="30"/>
      <c r="J40" s="30"/>
      <c r="K40" s="30"/>
    </row>
    <row r="41" spans="1:11" ht="15.95">
      <c r="A41" s="29"/>
      <c r="B41" s="29"/>
      <c r="C41" s="29"/>
      <c r="D41" s="29"/>
      <c r="E41" s="29"/>
      <c r="F41" s="29" t="s">
        <v>201</v>
      </c>
      <c r="G41" s="30"/>
      <c r="H41" s="30"/>
      <c r="I41" s="30"/>
      <c r="J41" s="30"/>
      <c r="K41" s="30"/>
    </row>
    <row r="42" spans="1:11" ht="48">
      <c r="A42" s="29">
        <v>5</v>
      </c>
      <c r="B42" s="29" t="s">
        <v>47</v>
      </c>
      <c r="C42" s="29" t="s">
        <v>223</v>
      </c>
      <c r="D42" s="29">
        <v>5.0999999999999996</v>
      </c>
      <c r="E42" s="29" t="s">
        <v>202</v>
      </c>
      <c r="F42" s="29" t="s">
        <v>203</v>
      </c>
      <c r="G42" s="30"/>
      <c r="H42" s="30"/>
      <c r="I42" s="30"/>
      <c r="J42" s="30"/>
      <c r="K42" s="30"/>
    </row>
    <row r="43" spans="1:11" ht="15.95">
      <c r="A43" s="29"/>
      <c r="B43" s="29"/>
      <c r="C43" s="29"/>
      <c r="D43" s="29"/>
      <c r="E43" s="29"/>
      <c r="F43" s="29" t="s">
        <v>204</v>
      </c>
      <c r="G43" s="30"/>
      <c r="H43" s="30"/>
      <c r="I43" s="30"/>
      <c r="J43" s="30"/>
      <c r="K43" s="30"/>
    </row>
    <row r="44" spans="1:11" ht="15.95">
      <c r="A44" s="29"/>
      <c r="B44" s="29"/>
      <c r="C44" s="29"/>
      <c r="D44" s="29"/>
      <c r="E44" s="29"/>
      <c r="F44" s="29" t="s">
        <v>205</v>
      </c>
      <c r="G44" s="30"/>
      <c r="H44" s="30"/>
      <c r="I44" s="30"/>
      <c r="J44" s="30"/>
      <c r="K44" s="30"/>
    </row>
    <row r="45" spans="1:11" ht="32.1">
      <c r="A45" s="29"/>
      <c r="B45" s="29"/>
      <c r="C45" s="29"/>
      <c r="D45" s="29">
        <v>5.2</v>
      </c>
      <c r="E45" s="29" t="s">
        <v>206</v>
      </c>
      <c r="F45" s="29" t="s">
        <v>207</v>
      </c>
      <c r="G45" s="30"/>
      <c r="H45" s="30"/>
      <c r="I45" s="30"/>
      <c r="J45" s="30"/>
      <c r="K45" s="30"/>
    </row>
    <row r="46" spans="1:11" ht="15.95">
      <c r="A46" s="29"/>
      <c r="B46" s="29"/>
      <c r="C46" s="29"/>
      <c r="D46" s="29"/>
      <c r="E46" s="29"/>
      <c r="F46" s="29" t="s">
        <v>208</v>
      </c>
      <c r="G46" s="30"/>
      <c r="H46" s="30"/>
      <c r="I46" s="30"/>
      <c r="J46" s="30"/>
      <c r="K46" s="30"/>
    </row>
    <row r="47" spans="1:11" ht="15.95">
      <c r="A47" s="29"/>
      <c r="B47" s="29"/>
      <c r="C47" s="29"/>
      <c r="D47" s="29"/>
      <c r="E47" s="29"/>
      <c r="F47" s="29" t="s">
        <v>209</v>
      </c>
      <c r="G47" s="30"/>
      <c r="H47" s="30"/>
      <c r="I47" s="30"/>
      <c r="J47" s="30"/>
      <c r="K47" s="30"/>
    </row>
    <row r="48" spans="1:11" ht="32.1">
      <c r="A48" s="29"/>
      <c r="B48" s="29"/>
      <c r="C48" s="29"/>
      <c r="D48" s="29">
        <v>5.3</v>
      </c>
      <c r="E48" s="29" t="s">
        <v>210</v>
      </c>
      <c r="F48" s="29" t="s">
        <v>211</v>
      </c>
      <c r="G48" s="30"/>
      <c r="H48" s="30"/>
      <c r="I48" s="30"/>
      <c r="J48" s="30"/>
      <c r="K48" s="30"/>
    </row>
    <row r="49" spans="1:11" ht="15.95">
      <c r="A49" s="29"/>
      <c r="B49" s="29"/>
      <c r="C49" s="29"/>
      <c r="D49" s="29"/>
      <c r="E49" s="29"/>
      <c r="F49" s="29" t="s">
        <v>123</v>
      </c>
      <c r="G49" s="30"/>
      <c r="H49" s="30"/>
      <c r="I49" s="30"/>
      <c r="J49" s="30"/>
      <c r="K49" s="30"/>
    </row>
    <row r="50" spans="1:11" ht="15.95">
      <c r="A50" s="29"/>
      <c r="B50" s="29"/>
      <c r="C50" s="29"/>
      <c r="D50" s="29"/>
      <c r="E50" s="29"/>
      <c r="F50" s="29" t="s">
        <v>212</v>
      </c>
      <c r="G50" s="30"/>
      <c r="H50" s="30"/>
      <c r="I50" s="30"/>
      <c r="J50" s="30"/>
      <c r="K50" s="30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434B2-5A87-4CCB-895A-E36CEA4F795A}">
  <dimension ref="A1:CY80"/>
  <sheetViews>
    <sheetView tabSelected="1" workbookViewId="0">
      <selection activeCell="G1" sqref="G1:G1048576"/>
    </sheetView>
  </sheetViews>
  <sheetFormatPr defaultRowHeight="15"/>
  <cols>
    <col min="2" max="2" width="95.42578125" customWidth="1"/>
    <col min="3" max="3" width="11.140625" customWidth="1"/>
    <col min="4" max="4" width="10.140625" bestFit="1" customWidth="1"/>
    <col min="5" max="5" width="14.28515625" customWidth="1"/>
    <col min="7" max="7" width="0" hidden="1" customWidth="1"/>
    <col min="8" max="8" width="5.28515625" customWidth="1"/>
    <col min="9" max="9" width="6.7109375" customWidth="1"/>
    <col min="10" max="10" width="5.42578125" customWidth="1"/>
    <col min="11" max="11" width="4.5703125" customWidth="1"/>
    <col min="12" max="12" width="4.85546875" customWidth="1"/>
    <col min="13" max="13" width="6.7109375" hidden="1" customWidth="1"/>
    <col min="14" max="14" width="6" customWidth="1"/>
    <col min="15" max="15" width="5.7109375" customWidth="1"/>
    <col min="16" max="16" width="4.28515625" customWidth="1"/>
    <col min="17" max="103" width="3.28515625" customWidth="1"/>
    <col min="104" max="104" width="11.140625" bestFit="1" customWidth="1"/>
  </cols>
  <sheetData>
    <row r="1" spans="1:103">
      <c r="A1" s="1"/>
      <c r="B1" s="17"/>
      <c r="C1" s="2"/>
      <c r="D1" s="1"/>
      <c r="E1" s="17"/>
    </row>
    <row r="2" spans="1:103" ht="15.75">
      <c r="B2" s="23" t="s">
        <v>0</v>
      </c>
    </row>
    <row r="3" spans="1:103">
      <c r="B3" t="s">
        <v>1</v>
      </c>
    </row>
    <row r="4" spans="1:103">
      <c r="A4" s="1"/>
      <c r="B4" s="1"/>
      <c r="C4" s="1"/>
      <c r="D4" s="17" t="s">
        <v>2</v>
      </c>
      <c r="E4" s="1"/>
    </row>
    <row r="5" spans="1:103">
      <c r="A5" s="1"/>
      <c r="C5" s="1"/>
      <c r="D5" s="21"/>
      <c r="E5" s="17" t="s">
        <v>3</v>
      </c>
    </row>
    <row r="6" spans="1:103">
      <c r="B6" s="18"/>
      <c r="D6" s="48"/>
      <c r="E6" s="17" t="s">
        <v>4</v>
      </c>
    </row>
    <row r="7" spans="1:103">
      <c r="B7" s="18"/>
      <c r="D7" s="22"/>
      <c r="E7" s="17" t="s">
        <v>5</v>
      </c>
    </row>
    <row r="8" spans="1:103" ht="19.5" customHeight="1">
      <c r="A8" s="1"/>
      <c r="B8" s="18"/>
      <c r="C8" s="1"/>
      <c r="D8" s="57"/>
      <c r="E8" s="17"/>
      <c r="H8" s="18"/>
      <c r="I8" s="19" t="s">
        <v>7</v>
      </c>
      <c r="J8" s="19"/>
      <c r="K8" s="19"/>
      <c r="L8" s="19"/>
      <c r="M8" s="18"/>
      <c r="O8" s="19" t="s">
        <v>8</v>
      </c>
      <c r="P8" s="19"/>
      <c r="Q8" s="19"/>
      <c r="R8" s="19"/>
      <c r="T8" s="19"/>
      <c r="U8" s="19"/>
      <c r="V8" s="19" t="s">
        <v>9</v>
      </c>
      <c r="W8" s="19"/>
      <c r="Y8" s="19"/>
      <c r="Z8" s="19"/>
      <c r="AA8" s="19"/>
      <c r="AB8" s="19"/>
      <c r="AC8" s="19" t="s">
        <v>10</v>
      </c>
      <c r="AD8" s="19"/>
      <c r="AE8" s="19"/>
      <c r="AF8" s="19"/>
      <c r="AG8" s="19"/>
      <c r="AI8" s="19"/>
      <c r="AJ8" s="19" t="s">
        <v>11</v>
      </c>
      <c r="AK8" s="19"/>
      <c r="AL8" s="19"/>
      <c r="AN8" s="19"/>
      <c r="AO8" s="19"/>
      <c r="AP8" s="19"/>
      <c r="AQ8" s="19" t="s">
        <v>12</v>
      </c>
      <c r="AS8" s="19"/>
      <c r="AT8" s="19"/>
      <c r="AU8" s="19"/>
      <c r="AV8" s="19"/>
      <c r="AX8" s="19" t="s">
        <v>224</v>
      </c>
      <c r="AY8" s="19"/>
      <c r="AZ8" s="19"/>
      <c r="BA8" s="19"/>
      <c r="BC8" s="19"/>
      <c r="BD8" s="19"/>
      <c r="BE8" s="19" t="s">
        <v>14</v>
      </c>
      <c r="BF8" s="19"/>
      <c r="BH8" s="19"/>
      <c r="BI8" s="19"/>
      <c r="BJ8" s="19"/>
      <c r="BK8" s="19"/>
      <c r="BL8" s="19" t="s">
        <v>15</v>
      </c>
      <c r="BM8" s="19"/>
      <c r="BN8" s="19"/>
      <c r="BO8" s="19"/>
      <c r="BP8" s="19"/>
      <c r="BQ8" s="17"/>
      <c r="BS8" s="19" t="s">
        <v>16</v>
      </c>
      <c r="BT8" s="17"/>
      <c r="BU8" s="17"/>
      <c r="BV8" s="17"/>
      <c r="BW8" s="17"/>
      <c r="BX8" s="17"/>
      <c r="BZ8" s="17" t="s">
        <v>225</v>
      </c>
      <c r="CA8" s="17"/>
      <c r="CB8" s="17"/>
      <c r="CC8" s="17"/>
      <c r="CD8" s="17"/>
      <c r="CE8" s="17"/>
      <c r="CG8" s="17" t="s">
        <v>226</v>
      </c>
      <c r="CH8" s="1"/>
      <c r="CI8" s="1"/>
      <c r="CJ8" s="1"/>
      <c r="CK8" s="1"/>
      <c r="CL8" s="1"/>
      <c r="CM8" s="1"/>
      <c r="CN8" s="24" t="s">
        <v>19</v>
      </c>
      <c r="CO8" s="1"/>
      <c r="CU8" s="63" t="s">
        <v>227</v>
      </c>
    </row>
    <row r="9" spans="1:103" s="68" customFormat="1" ht="33">
      <c r="A9" s="65" t="s">
        <v>228</v>
      </c>
      <c r="B9" s="65" t="s">
        <v>23</v>
      </c>
      <c r="C9" s="65" t="s">
        <v>24</v>
      </c>
      <c r="D9" s="66" t="s">
        <v>25</v>
      </c>
      <c r="E9" s="66" t="s">
        <v>229</v>
      </c>
      <c r="F9" s="66" t="s">
        <v>27</v>
      </c>
      <c r="G9" s="66" t="s">
        <v>28</v>
      </c>
      <c r="H9" s="67">
        <v>45676</v>
      </c>
      <c r="I9" s="67">
        <v>45677</v>
      </c>
      <c r="J9" s="67">
        <v>45678</v>
      </c>
      <c r="K9" s="67">
        <v>45679</v>
      </c>
      <c r="L9" s="67">
        <v>45680</v>
      </c>
      <c r="M9" s="67"/>
      <c r="N9" s="67">
        <v>45681</v>
      </c>
      <c r="O9" s="67">
        <v>45682</v>
      </c>
      <c r="P9" s="67">
        <v>45683</v>
      </c>
      <c r="Q9" s="67">
        <v>45684</v>
      </c>
      <c r="R9" s="67">
        <v>45685</v>
      </c>
      <c r="S9" s="67">
        <v>45686</v>
      </c>
      <c r="T9" s="67">
        <v>45687</v>
      </c>
      <c r="U9" s="67">
        <v>45688</v>
      </c>
      <c r="V9" s="67">
        <v>45689</v>
      </c>
      <c r="W9" s="67">
        <v>45690</v>
      </c>
      <c r="X9" s="67">
        <v>45691</v>
      </c>
      <c r="Y9" s="67">
        <v>45692</v>
      </c>
      <c r="Z9" s="67">
        <v>45693</v>
      </c>
      <c r="AA9" s="67">
        <v>45694</v>
      </c>
      <c r="AB9" s="67">
        <v>45695</v>
      </c>
      <c r="AC9" s="67">
        <v>45696</v>
      </c>
      <c r="AD9" s="67">
        <v>45697</v>
      </c>
      <c r="AE9" s="67">
        <v>45698</v>
      </c>
      <c r="AF9" s="67">
        <v>45699</v>
      </c>
      <c r="AG9" s="67">
        <v>45700</v>
      </c>
      <c r="AH9" s="67">
        <v>45701</v>
      </c>
      <c r="AI9" s="67">
        <v>45702</v>
      </c>
      <c r="AJ9" s="67">
        <v>45703</v>
      </c>
      <c r="AK9" s="67">
        <v>45704</v>
      </c>
      <c r="AL9" s="67">
        <v>45705</v>
      </c>
      <c r="AM9" s="67">
        <v>45706</v>
      </c>
      <c r="AN9" s="67">
        <v>45707</v>
      </c>
      <c r="AO9" s="67">
        <v>45708</v>
      </c>
      <c r="AP9" s="67">
        <v>45709</v>
      </c>
      <c r="AQ9" s="67">
        <v>45710</v>
      </c>
      <c r="AR9" s="67">
        <v>45711</v>
      </c>
      <c r="AS9" s="67">
        <v>45712</v>
      </c>
      <c r="AT9" s="67">
        <v>45713</v>
      </c>
      <c r="AU9" s="67">
        <v>45714</v>
      </c>
      <c r="AV9" s="67">
        <v>45715</v>
      </c>
      <c r="AW9" s="67">
        <v>45716</v>
      </c>
      <c r="AX9" s="67">
        <v>45717</v>
      </c>
      <c r="AY9" s="67">
        <v>45718</v>
      </c>
      <c r="AZ9" s="67">
        <v>45719</v>
      </c>
      <c r="BA9" s="67">
        <v>45720</v>
      </c>
      <c r="BB9" s="67">
        <v>45721</v>
      </c>
      <c r="BC9" s="67">
        <v>45722</v>
      </c>
      <c r="BD9" s="67">
        <v>45723</v>
      </c>
      <c r="BE9" s="67">
        <v>45724</v>
      </c>
      <c r="BF9" s="67">
        <v>45725</v>
      </c>
      <c r="BG9" s="67">
        <v>45726</v>
      </c>
      <c r="BH9" s="67">
        <v>45727</v>
      </c>
      <c r="BI9" s="67">
        <v>45728</v>
      </c>
      <c r="BJ9" s="67">
        <v>45729</v>
      </c>
      <c r="BK9" s="67">
        <v>45730</v>
      </c>
      <c r="BL9" s="67">
        <v>45731</v>
      </c>
      <c r="BM9" s="67">
        <v>45732</v>
      </c>
      <c r="BN9" s="67">
        <v>45733</v>
      </c>
      <c r="BO9" s="67">
        <v>45734</v>
      </c>
      <c r="BP9" s="67">
        <v>45735</v>
      </c>
      <c r="BQ9" s="67">
        <v>45736</v>
      </c>
      <c r="BR9" s="67">
        <v>45737</v>
      </c>
      <c r="BS9" s="67">
        <v>45738</v>
      </c>
      <c r="BT9" s="67">
        <v>45739</v>
      </c>
      <c r="BU9" s="67">
        <v>45740</v>
      </c>
      <c r="BV9" s="67">
        <v>45741</v>
      </c>
      <c r="BW9" s="67">
        <v>45742</v>
      </c>
      <c r="BX9" s="67">
        <v>45743</v>
      </c>
      <c r="BY9" s="67">
        <v>45744</v>
      </c>
      <c r="BZ9" s="67">
        <v>45745</v>
      </c>
      <c r="CA9" s="67">
        <v>45746</v>
      </c>
      <c r="CB9" s="67">
        <v>45747</v>
      </c>
      <c r="CC9" s="67">
        <v>45748</v>
      </c>
      <c r="CD9" s="67">
        <v>45749</v>
      </c>
      <c r="CE9" s="67">
        <v>45750</v>
      </c>
      <c r="CF9" s="67">
        <v>45751</v>
      </c>
      <c r="CG9" s="67">
        <v>45752</v>
      </c>
      <c r="CH9" s="67">
        <v>45753</v>
      </c>
      <c r="CI9" s="67">
        <v>45754</v>
      </c>
      <c r="CJ9" s="67">
        <v>45755</v>
      </c>
      <c r="CK9" s="67">
        <v>45756</v>
      </c>
      <c r="CL9" s="67">
        <v>45757</v>
      </c>
      <c r="CM9" s="67">
        <v>45758</v>
      </c>
      <c r="CN9" s="67">
        <v>45759</v>
      </c>
      <c r="CO9" s="67">
        <v>45760</v>
      </c>
      <c r="CP9" s="67">
        <v>45761</v>
      </c>
      <c r="CQ9" s="67">
        <v>45762</v>
      </c>
      <c r="CR9" s="67">
        <v>45763</v>
      </c>
      <c r="CS9" s="67">
        <v>45764</v>
      </c>
      <c r="CT9" s="67">
        <v>45765</v>
      </c>
      <c r="CU9" s="67">
        <v>45766</v>
      </c>
      <c r="CV9" s="67">
        <v>45767</v>
      </c>
      <c r="CW9" s="67">
        <v>45768</v>
      </c>
      <c r="CX9" s="67">
        <v>45769</v>
      </c>
      <c r="CY9" s="67">
        <v>45770</v>
      </c>
    </row>
    <row r="10" spans="1:103">
      <c r="A10" s="58">
        <v>1</v>
      </c>
      <c r="B10" s="58" t="s">
        <v>31</v>
      </c>
      <c r="C10" s="10">
        <v>45676</v>
      </c>
      <c r="D10" s="10">
        <v>45697</v>
      </c>
      <c r="E10" s="13"/>
      <c r="F10" s="11">
        <v>22</v>
      </c>
      <c r="G10" s="90">
        <f>SUM(H10:AQ10)/F10</f>
        <v>0</v>
      </c>
      <c r="H10" s="70"/>
      <c r="I10" s="70"/>
      <c r="J10" s="70"/>
      <c r="K10" s="70"/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1"/>
      <c r="AF10" s="71"/>
      <c r="AG10" s="71"/>
      <c r="AH10" s="71"/>
      <c r="AI10" s="71"/>
      <c r="AJ10" s="71"/>
      <c r="AK10" s="71"/>
      <c r="AL10" s="71"/>
      <c r="AM10" s="71"/>
      <c r="AN10" s="71"/>
      <c r="AO10" s="71"/>
      <c r="AP10" s="71"/>
      <c r="AQ10" s="71"/>
      <c r="AR10" s="71"/>
      <c r="AS10" s="71"/>
      <c r="AT10" s="71"/>
      <c r="AU10" s="71"/>
      <c r="AV10" s="71"/>
      <c r="AW10" s="71"/>
      <c r="AX10" s="71"/>
      <c r="AY10" s="71"/>
      <c r="AZ10" s="71"/>
      <c r="BA10" s="71"/>
      <c r="BB10" s="71"/>
      <c r="BC10" s="71"/>
      <c r="BD10" s="71"/>
      <c r="BE10" s="71"/>
      <c r="BF10" s="71"/>
      <c r="BG10" s="71"/>
      <c r="BH10" s="71"/>
      <c r="BI10" s="71"/>
      <c r="BJ10" s="71"/>
      <c r="BK10" s="71"/>
      <c r="BL10" s="71"/>
      <c r="BM10" s="71"/>
      <c r="BN10" s="71"/>
      <c r="BO10" s="71"/>
      <c r="BP10" s="71"/>
      <c r="BQ10" s="71"/>
      <c r="BR10" s="71"/>
      <c r="BS10" s="71"/>
      <c r="BT10" s="71"/>
      <c r="BU10" s="71"/>
      <c r="BV10" s="71"/>
      <c r="BW10" s="71"/>
      <c r="BX10" s="71"/>
      <c r="BY10" s="71"/>
      <c r="BZ10" s="71"/>
      <c r="CA10" s="71"/>
      <c r="CB10" s="71"/>
      <c r="CC10" s="71"/>
      <c r="CD10" s="71"/>
      <c r="CE10" s="71"/>
      <c r="CF10" s="71"/>
      <c r="CG10" s="71"/>
      <c r="CH10" s="71"/>
      <c r="CI10" s="71"/>
      <c r="CJ10" s="71"/>
      <c r="CK10" s="71"/>
      <c r="CL10" s="71"/>
      <c r="CM10" s="71"/>
      <c r="CN10" s="71"/>
      <c r="CO10" s="71"/>
      <c r="CP10" s="71"/>
      <c r="CQ10" s="71"/>
      <c r="CR10" s="71"/>
      <c r="CS10" s="71"/>
      <c r="CT10" s="71"/>
      <c r="CU10" s="71"/>
      <c r="CV10" s="71"/>
      <c r="CW10" s="71"/>
      <c r="CX10" s="71"/>
      <c r="CY10" s="71"/>
    </row>
    <row r="11" spans="1:103">
      <c r="A11" s="59">
        <v>1.1000000000000001</v>
      </c>
      <c r="B11" s="60" t="s">
        <v>156</v>
      </c>
      <c r="C11" s="10">
        <v>45676</v>
      </c>
      <c r="D11" s="10">
        <v>44952</v>
      </c>
      <c r="E11" s="13"/>
      <c r="F11" s="11">
        <v>8</v>
      </c>
      <c r="G11" s="90">
        <f>SUM(H11:AQ11)/F11</f>
        <v>0</v>
      </c>
      <c r="H11" s="70"/>
      <c r="I11" s="70"/>
      <c r="J11" s="70"/>
      <c r="K11" s="70"/>
      <c r="L11" s="70"/>
      <c r="M11" s="70"/>
      <c r="N11" s="70"/>
      <c r="O11" s="70"/>
      <c r="P11" s="70"/>
      <c r="Q11" s="71"/>
      <c r="R11" s="71"/>
      <c r="S11" s="71"/>
      <c r="T11" s="71"/>
      <c r="U11" s="71"/>
      <c r="V11" s="71"/>
      <c r="W11" s="71"/>
      <c r="X11" s="71"/>
      <c r="Y11" s="71"/>
      <c r="Z11" s="71"/>
      <c r="AA11" s="71"/>
      <c r="AB11" s="71"/>
      <c r="AC11" s="71"/>
      <c r="AD11" s="71"/>
      <c r="AE11" s="71"/>
      <c r="AF11" s="71"/>
      <c r="AG11" s="71"/>
      <c r="AH11" s="71"/>
      <c r="AI11" s="71"/>
      <c r="AJ11" s="71"/>
      <c r="AK11" s="71"/>
      <c r="AL11" s="71"/>
      <c r="AM11" s="71"/>
      <c r="AN11" s="71"/>
      <c r="AO11" s="71"/>
      <c r="AP11" s="71"/>
      <c r="AQ11" s="71"/>
      <c r="AR11" s="71"/>
      <c r="AS11" s="71"/>
      <c r="AT11" s="71"/>
      <c r="AU11" s="71"/>
      <c r="AV11" s="71"/>
      <c r="AW11" s="71"/>
      <c r="AX11" s="71"/>
      <c r="AY11" s="71"/>
      <c r="AZ11" s="71"/>
      <c r="BA11" s="71"/>
      <c r="BB11" s="71"/>
      <c r="BC11" s="71"/>
      <c r="BD11" s="71"/>
      <c r="BE11" s="71"/>
      <c r="BF11" s="71"/>
      <c r="BG11" s="71"/>
      <c r="BH11" s="71"/>
      <c r="BI11" s="71"/>
      <c r="BJ11" s="71"/>
      <c r="BK11" s="71"/>
      <c r="BL11" s="71"/>
      <c r="BM11" s="71"/>
      <c r="BN11" s="71"/>
      <c r="BO11" s="71"/>
      <c r="BP11" s="71"/>
      <c r="BQ11" s="71"/>
      <c r="BR11" s="71"/>
      <c r="BS11" s="71"/>
      <c r="BT11" s="71"/>
      <c r="BU11" s="71"/>
      <c r="BV11" s="71"/>
      <c r="BW11" s="71"/>
      <c r="BX11" s="71"/>
      <c r="BY11" s="71"/>
      <c r="BZ11" s="71"/>
      <c r="CA11" s="71"/>
      <c r="CB11" s="71"/>
      <c r="CC11" s="71"/>
      <c r="CD11" s="71"/>
      <c r="CE11" s="71"/>
      <c r="CF11" s="71"/>
      <c r="CG11" s="71"/>
      <c r="CH11" s="71"/>
      <c r="CI11" s="71"/>
      <c r="CJ11" s="71"/>
      <c r="CK11" s="71"/>
      <c r="CL11" s="71"/>
      <c r="CM11" s="71"/>
      <c r="CN11" s="71"/>
      <c r="CO11" s="71"/>
      <c r="CP11" s="71"/>
      <c r="CQ11" s="71"/>
      <c r="CR11" s="71"/>
      <c r="CS11" s="71"/>
      <c r="CT11" s="71"/>
      <c r="CU11" s="71"/>
      <c r="CV11" s="71"/>
      <c r="CW11" s="71"/>
      <c r="CX11" s="71"/>
      <c r="CY11" s="71"/>
    </row>
    <row r="12" spans="1:103">
      <c r="A12" s="29"/>
      <c r="B12" s="29" t="s">
        <v>157</v>
      </c>
      <c r="C12" s="10">
        <v>44945</v>
      </c>
      <c r="D12" s="10">
        <v>44947</v>
      </c>
      <c r="E12" s="13"/>
      <c r="F12" s="11">
        <v>3</v>
      </c>
      <c r="G12" s="90">
        <f>SUM(H12:AQ12)/F12</f>
        <v>0</v>
      </c>
      <c r="H12" s="70"/>
      <c r="I12" s="70"/>
      <c r="J12" s="70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71"/>
      <c r="AG12" s="71"/>
      <c r="AH12" s="71"/>
      <c r="AI12" s="71"/>
      <c r="AJ12" s="71"/>
      <c r="AK12" s="71"/>
      <c r="AL12" s="71"/>
      <c r="AM12" s="71"/>
      <c r="AN12" s="71"/>
      <c r="AO12" s="71"/>
      <c r="AP12" s="71"/>
      <c r="AQ12" s="71"/>
      <c r="AR12" s="71"/>
      <c r="AS12" s="71"/>
      <c r="AT12" s="71"/>
      <c r="AU12" s="71"/>
      <c r="AV12" s="71"/>
      <c r="AW12" s="71"/>
      <c r="AX12" s="71"/>
      <c r="AY12" s="71"/>
      <c r="AZ12" s="71"/>
      <c r="BA12" s="71"/>
      <c r="BB12" s="71"/>
      <c r="BC12" s="71"/>
      <c r="BD12" s="71"/>
      <c r="BE12" s="71"/>
      <c r="BF12" s="71"/>
      <c r="BG12" s="71"/>
      <c r="BH12" s="71"/>
      <c r="BI12" s="71"/>
      <c r="BJ12" s="71"/>
      <c r="BK12" s="71"/>
      <c r="BL12" s="71"/>
      <c r="BM12" s="71"/>
      <c r="BN12" s="71"/>
      <c r="BO12" s="71"/>
      <c r="BP12" s="71"/>
      <c r="BQ12" s="71"/>
      <c r="BR12" s="71"/>
      <c r="BS12" s="71"/>
      <c r="BT12" s="71"/>
      <c r="BU12" s="71"/>
      <c r="BV12" s="71"/>
      <c r="BW12" s="71"/>
      <c r="BX12" s="71"/>
      <c r="BY12" s="71"/>
      <c r="BZ12" s="71"/>
      <c r="CA12" s="71"/>
      <c r="CB12" s="71"/>
      <c r="CC12" s="71"/>
      <c r="CD12" s="71"/>
      <c r="CE12" s="71"/>
      <c r="CF12" s="71"/>
      <c r="CG12" s="71"/>
      <c r="CH12" s="71"/>
      <c r="CI12" s="71"/>
      <c r="CJ12" s="71"/>
      <c r="CK12" s="71"/>
      <c r="CL12" s="71"/>
      <c r="CM12" s="71"/>
      <c r="CN12" s="71"/>
      <c r="CO12" s="71"/>
      <c r="CP12" s="71"/>
      <c r="CQ12" s="71"/>
      <c r="CR12" s="71"/>
      <c r="CS12" s="71"/>
      <c r="CT12" s="71"/>
      <c r="CU12" s="71"/>
      <c r="CV12" s="71"/>
      <c r="CW12" s="71"/>
      <c r="CX12" s="71"/>
      <c r="CY12" s="71"/>
    </row>
    <row r="13" spans="1:103">
      <c r="A13" s="29"/>
      <c r="B13" s="29" t="s">
        <v>158</v>
      </c>
      <c r="C13" s="10">
        <v>44948</v>
      </c>
      <c r="D13" s="10">
        <v>44949</v>
      </c>
      <c r="E13" s="13"/>
      <c r="F13" s="11">
        <v>2</v>
      </c>
      <c r="G13" s="112">
        <f>SUM(H13:AQ13)/F13</f>
        <v>0</v>
      </c>
      <c r="H13" s="71"/>
      <c r="I13" s="71"/>
      <c r="J13" s="71"/>
      <c r="K13" s="70"/>
      <c r="L13" s="70"/>
      <c r="M13" s="71"/>
      <c r="N13" s="71"/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  <c r="AH13" s="71"/>
      <c r="AI13" s="71"/>
      <c r="AJ13" s="71"/>
      <c r="AK13" s="71"/>
      <c r="AL13" s="71"/>
      <c r="AM13" s="71"/>
      <c r="AN13" s="71"/>
      <c r="AO13" s="71"/>
      <c r="AP13" s="71"/>
      <c r="AQ13" s="71"/>
      <c r="AR13" s="71"/>
      <c r="AS13" s="71"/>
      <c r="AT13" s="71"/>
      <c r="AU13" s="71"/>
      <c r="AV13" s="71"/>
      <c r="AW13" s="71"/>
      <c r="AX13" s="71"/>
      <c r="AY13" s="71"/>
      <c r="AZ13" s="71"/>
      <c r="BA13" s="71"/>
      <c r="BB13" s="71"/>
      <c r="BC13" s="71"/>
      <c r="BD13" s="71"/>
      <c r="BE13" s="71"/>
      <c r="BF13" s="71"/>
      <c r="BG13" s="71"/>
      <c r="BH13" s="71"/>
      <c r="BI13" s="71"/>
      <c r="BJ13" s="71"/>
      <c r="BK13" s="71"/>
      <c r="BL13" s="71"/>
      <c r="BM13" s="71"/>
      <c r="BN13" s="71"/>
      <c r="BO13" s="71"/>
      <c r="BP13" s="71"/>
      <c r="BQ13" s="71"/>
      <c r="BR13" s="71"/>
      <c r="BS13" s="71"/>
      <c r="BT13" s="71"/>
      <c r="BU13" s="71"/>
      <c r="BV13" s="71"/>
      <c r="BW13" s="71"/>
      <c r="BX13" s="71"/>
      <c r="BY13" s="71"/>
      <c r="BZ13" s="71"/>
      <c r="CA13" s="71"/>
      <c r="CB13" s="71"/>
      <c r="CC13" s="71"/>
      <c r="CD13" s="71"/>
      <c r="CE13" s="71"/>
      <c r="CF13" s="71"/>
      <c r="CG13" s="71"/>
      <c r="CH13" s="71"/>
      <c r="CI13" s="71"/>
      <c r="CJ13" s="71"/>
      <c r="CK13" s="71"/>
      <c r="CL13" s="71"/>
      <c r="CM13" s="71"/>
      <c r="CN13" s="71"/>
      <c r="CO13" s="71"/>
      <c r="CP13" s="71"/>
      <c r="CQ13" s="71"/>
      <c r="CR13" s="71"/>
      <c r="CS13" s="71"/>
      <c r="CT13" s="71"/>
      <c r="CU13" s="71"/>
      <c r="CV13" s="71"/>
      <c r="CW13" s="71"/>
      <c r="CX13" s="71"/>
      <c r="CY13" s="71"/>
    </row>
    <row r="14" spans="1:103" ht="30.75">
      <c r="B14" s="69" t="s">
        <v>159</v>
      </c>
      <c r="C14" s="10">
        <v>44950</v>
      </c>
      <c r="D14" s="10">
        <v>44952</v>
      </c>
      <c r="E14" s="13"/>
      <c r="F14" s="11">
        <v>3</v>
      </c>
      <c r="G14" s="86">
        <f t="shared" ref="G14:G77" si="0">SUM(H14:AQ14)/F14</f>
        <v>0</v>
      </c>
      <c r="H14" s="71"/>
      <c r="I14" s="71"/>
      <c r="J14" s="71"/>
      <c r="K14" s="71"/>
      <c r="L14" s="71"/>
      <c r="M14" s="71"/>
      <c r="N14" s="70"/>
      <c r="O14" s="70"/>
      <c r="P14" s="70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  <c r="AI14" s="71"/>
      <c r="AJ14" s="71"/>
      <c r="AK14" s="71"/>
      <c r="AL14" s="71"/>
      <c r="AM14" s="71"/>
      <c r="AN14" s="71"/>
      <c r="AO14" s="71"/>
      <c r="AP14" s="71"/>
      <c r="AQ14" s="71"/>
      <c r="AR14" s="71"/>
      <c r="AS14" s="71"/>
      <c r="AT14" s="71"/>
      <c r="AU14" s="71"/>
      <c r="AV14" s="71"/>
      <c r="AW14" s="71"/>
      <c r="AX14" s="71"/>
      <c r="AY14" s="71"/>
      <c r="AZ14" s="71"/>
      <c r="BA14" s="71"/>
      <c r="BB14" s="71"/>
      <c r="BC14" s="71"/>
      <c r="BD14" s="71"/>
      <c r="BE14" s="71"/>
      <c r="BF14" s="71"/>
      <c r="BG14" s="71"/>
      <c r="BH14" s="71"/>
      <c r="BI14" s="71"/>
      <c r="BJ14" s="71"/>
      <c r="BK14" s="71"/>
      <c r="BL14" s="71"/>
      <c r="BM14" s="71"/>
      <c r="BN14" s="71"/>
      <c r="BO14" s="71"/>
      <c r="BP14" s="71"/>
      <c r="BQ14" s="71"/>
      <c r="BR14" s="71"/>
      <c r="BS14" s="71"/>
      <c r="BT14" s="71"/>
      <c r="BU14" s="71"/>
      <c r="BV14" s="71"/>
      <c r="BW14" s="71"/>
      <c r="BX14" s="71"/>
      <c r="BY14" s="71"/>
      <c r="BZ14" s="71"/>
      <c r="CA14" s="71"/>
      <c r="CB14" s="71"/>
      <c r="CC14" s="71"/>
      <c r="CD14" s="71"/>
      <c r="CE14" s="71"/>
      <c r="CF14" s="71"/>
      <c r="CG14" s="71"/>
      <c r="CH14" s="71"/>
      <c r="CI14" s="71"/>
      <c r="CJ14" s="71"/>
      <c r="CK14" s="71"/>
      <c r="CL14" s="71"/>
      <c r="CM14" s="71"/>
      <c r="CN14" s="71"/>
      <c r="CO14" s="71"/>
      <c r="CP14" s="71"/>
      <c r="CQ14" s="71"/>
      <c r="CR14" s="71"/>
      <c r="CS14" s="71"/>
      <c r="CT14" s="71"/>
      <c r="CU14" s="71"/>
      <c r="CV14" s="71"/>
      <c r="CW14" s="71"/>
      <c r="CX14" s="71"/>
      <c r="CY14" s="71"/>
    </row>
    <row r="15" spans="1:103">
      <c r="A15" s="59">
        <v>1.2</v>
      </c>
      <c r="B15" s="60" t="s">
        <v>160</v>
      </c>
      <c r="C15" s="10">
        <v>44953</v>
      </c>
      <c r="D15" s="10">
        <v>44959</v>
      </c>
      <c r="E15" s="13"/>
      <c r="F15" s="11">
        <v>7</v>
      </c>
      <c r="G15" s="86">
        <f t="shared" si="0"/>
        <v>0</v>
      </c>
      <c r="H15" s="71"/>
      <c r="I15" s="71"/>
      <c r="J15" s="71"/>
      <c r="K15" s="71"/>
      <c r="L15" s="71"/>
      <c r="M15" s="71"/>
      <c r="N15" s="71"/>
      <c r="O15" s="71"/>
      <c r="P15" s="71"/>
      <c r="Q15" s="70"/>
      <c r="R15" s="70"/>
      <c r="S15" s="70"/>
      <c r="T15" s="70"/>
      <c r="U15" s="70"/>
      <c r="V15" s="70"/>
      <c r="W15" s="70"/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1"/>
      <c r="AI15" s="71"/>
      <c r="AJ15" s="71"/>
      <c r="AK15" s="71"/>
      <c r="AL15" s="71"/>
      <c r="AM15" s="71"/>
      <c r="AN15" s="71"/>
      <c r="AO15" s="71"/>
      <c r="AP15" s="71"/>
      <c r="AQ15" s="71"/>
      <c r="AR15" s="71"/>
      <c r="AS15" s="71"/>
      <c r="AT15" s="71"/>
      <c r="AU15" s="71"/>
      <c r="AV15" s="71"/>
      <c r="AW15" s="71"/>
      <c r="AX15" s="71"/>
      <c r="AY15" s="71"/>
      <c r="AZ15" s="71"/>
      <c r="BA15" s="71"/>
      <c r="BB15" s="71"/>
      <c r="BC15" s="71"/>
      <c r="BD15" s="71"/>
      <c r="BE15" s="71"/>
      <c r="BF15" s="71"/>
      <c r="BG15" s="71"/>
      <c r="BH15" s="71"/>
      <c r="BI15" s="71"/>
      <c r="BJ15" s="71"/>
      <c r="BK15" s="71"/>
      <c r="BL15" s="71"/>
      <c r="BM15" s="71"/>
      <c r="BN15" s="71"/>
      <c r="BO15" s="71"/>
      <c r="BP15" s="71"/>
      <c r="BQ15" s="71"/>
      <c r="BR15" s="71"/>
      <c r="BS15" s="71"/>
      <c r="BT15" s="71"/>
      <c r="BU15" s="71"/>
      <c r="BV15" s="71"/>
      <c r="BW15" s="71"/>
      <c r="BX15" s="71"/>
      <c r="BY15" s="71"/>
      <c r="BZ15" s="71"/>
      <c r="CA15" s="71"/>
      <c r="CB15" s="71"/>
      <c r="CC15" s="71"/>
      <c r="CD15" s="71"/>
      <c r="CE15" s="71"/>
      <c r="CF15" s="71"/>
      <c r="CG15" s="71"/>
      <c r="CH15" s="71"/>
      <c r="CI15" s="71"/>
      <c r="CJ15" s="71"/>
      <c r="CK15" s="71"/>
      <c r="CL15" s="71"/>
      <c r="CM15" s="71"/>
      <c r="CN15" s="71"/>
      <c r="CO15" s="71"/>
      <c r="CP15" s="71"/>
      <c r="CQ15" s="71"/>
      <c r="CR15" s="71"/>
      <c r="CS15" s="71"/>
      <c r="CT15" s="71"/>
      <c r="CU15" s="71"/>
      <c r="CV15" s="71"/>
      <c r="CW15" s="71"/>
      <c r="CX15" s="71"/>
      <c r="CY15" s="71"/>
    </row>
    <row r="16" spans="1:103">
      <c r="A16" s="29"/>
      <c r="B16" s="29" t="s">
        <v>161</v>
      </c>
      <c r="C16" s="10">
        <v>44953</v>
      </c>
      <c r="D16" s="10">
        <v>44954</v>
      </c>
      <c r="E16" s="13"/>
      <c r="F16" s="11">
        <v>2</v>
      </c>
      <c r="G16" s="86">
        <f t="shared" si="0"/>
        <v>0</v>
      </c>
      <c r="H16" s="71"/>
      <c r="I16" s="71"/>
      <c r="J16" s="71"/>
      <c r="K16" s="71"/>
      <c r="L16" s="71"/>
      <c r="M16" s="71"/>
      <c r="N16" s="71"/>
      <c r="O16" s="71"/>
      <c r="P16" s="71"/>
      <c r="Q16" s="70"/>
      <c r="R16" s="70"/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71"/>
      <c r="AH16" s="71"/>
      <c r="AI16" s="71"/>
      <c r="AJ16" s="71"/>
      <c r="AK16" s="71"/>
      <c r="AL16" s="71"/>
      <c r="AM16" s="71"/>
      <c r="AN16" s="71"/>
      <c r="AO16" s="71"/>
      <c r="AP16" s="71"/>
      <c r="AQ16" s="71"/>
      <c r="AR16" s="71"/>
      <c r="AS16" s="71"/>
      <c r="AT16" s="71"/>
      <c r="AU16" s="71"/>
      <c r="AV16" s="71"/>
      <c r="AW16" s="71"/>
      <c r="AX16" s="71"/>
      <c r="AY16" s="71"/>
      <c r="AZ16" s="71"/>
      <c r="BA16" s="71"/>
      <c r="BB16" s="71"/>
      <c r="BC16" s="71"/>
      <c r="BD16" s="71"/>
      <c r="BE16" s="71"/>
      <c r="BF16" s="71"/>
      <c r="BG16" s="71"/>
      <c r="BH16" s="71"/>
      <c r="BI16" s="71"/>
      <c r="BJ16" s="71"/>
      <c r="BK16" s="71"/>
      <c r="BL16" s="71"/>
      <c r="BM16" s="71"/>
      <c r="BN16" s="71"/>
      <c r="BO16" s="71"/>
      <c r="BP16" s="71"/>
      <c r="BQ16" s="71"/>
      <c r="BR16" s="71"/>
      <c r="BS16" s="71"/>
      <c r="BT16" s="71"/>
      <c r="BU16" s="71"/>
      <c r="BV16" s="71"/>
      <c r="BW16" s="71"/>
      <c r="BX16" s="71"/>
      <c r="BY16" s="71"/>
      <c r="BZ16" s="71"/>
      <c r="CA16" s="71"/>
      <c r="CB16" s="71"/>
      <c r="CC16" s="71"/>
      <c r="CD16" s="71"/>
      <c r="CE16" s="71"/>
      <c r="CF16" s="71"/>
      <c r="CG16" s="71"/>
      <c r="CH16" s="71"/>
      <c r="CI16" s="71"/>
      <c r="CJ16" s="71"/>
      <c r="CK16" s="71"/>
      <c r="CL16" s="71"/>
      <c r="CM16" s="71"/>
      <c r="CN16" s="71"/>
      <c r="CO16" s="71"/>
      <c r="CP16" s="71"/>
      <c r="CQ16" s="71"/>
      <c r="CR16" s="71"/>
      <c r="CS16" s="71"/>
      <c r="CT16" s="71"/>
      <c r="CU16" s="71"/>
      <c r="CV16" s="71"/>
      <c r="CW16" s="71"/>
      <c r="CX16" s="71"/>
      <c r="CY16" s="71"/>
    </row>
    <row r="17" spans="1:103">
      <c r="A17" s="29"/>
      <c r="B17" s="29" t="s">
        <v>162</v>
      </c>
      <c r="C17" s="10">
        <v>44955</v>
      </c>
      <c r="D17" s="10">
        <v>44956</v>
      </c>
      <c r="E17" s="13"/>
      <c r="F17" s="11">
        <v>2</v>
      </c>
      <c r="G17" s="90">
        <f t="shared" si="0"/>
        <v>0</v>
      </c>
      <c r="H17" s="71"/>
      <c r="I17" s="71"/>
      <c r="J17" s="71"/>
      <c r="K17" s="71"/>
      <c r="L17" s="71"/>
      <c r="M17" s="71"/>
      <c r="N17" s="71"/>
      <c r="O17" s="71"/>
      <c r="P17" s="71"/>
      <c r="Q17" s="71"/>
      <c r="R17" s="71"/>
      <c r="S17" s="70"/>
      <c r="T17" s="70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  <c r="AH17" s="71"/>
      <c r="AI17" s="71"/>
      <c r="AJ17" s="71"/>
      <c r="AK17" s="71"/>
      <c r="AL17" s="71"/>
      <c r="AM17" s="71"/>
      <c r="AN17" s="71"/>
      <c r="AO17" s="71"/>
      <c r="AP17" s="71"/>
      <c r="AQ17" s="71"/>
      <c r="AR17" s="71"/>
      <c r="AS17" s="71"/>
      <c r="AT17" s="71"/>
      <c r="AU17" s="71"/>
      <c r="AV17" s="71"/>
      <c r="AW17" s="71"/>
      <c r="AX17" s="71"/>
      <c r="AY17" s="71"/>
      <c r="AZ17" s="71"/>
      <c r="BA17" s="71"/>
      <c r="BB17" s="71"/>
      <c r="BC17" s="71"/>
      <c r="BD17" s="71"/>
      <c r="BE17" s="71"/>
      <c r="BF17" s="71"/>
      <c r="BG17" s="71"/>
      <c r="BH17" s="71"/>
      <c r="BI17" s="71"/>
      <c r="BJ17" s="71"/>
      <c r="BK17" s="71"/>
      <c r="BL17" s="71"/>
      <c r="BM17" s="71"/>
      <c r="BN17" s="71"/>
      <c r="BO17" s="71"/>
      <c r="BP17" s="71"/>
      <c r="BQ17" s="71"/>
      <c r="BR17" s="71"/>
      <c r="BS17" s="71"/>
      <c r="BT17" s="71"/>
      <c r="BU17" s="71"/>
      <c r="BV17" s="71"/>
      <c r="BW17" s="71"/>
      <c r="BX17" s="71"/>
      <c r="BY17" s="71"/>
      <c r="BZ17" s="71"/>
      <c r="CA17" s="71"/>
      <c r="CB17" s="71"/>
      <c r="CC17" s="71"/>
      <c r="CD17" s="71"/>
      <c r="CE17" s="71"/>
      <c r="CF17" s="71"/>
      <c r="CG17" s="71"/>
      <c r="CH17" s="71"/>
      <c r="CI17" s="71"/>
      <c r="CJ17" s="71"/>
      <c r="CK17" s="71"/>
      <c r="CL17" s="71"/>
      <c r="CM17" s="71"/>
      <c r="CN17" s="71"/>
      <c r="CO17" s="71"/>
      <c r="CP17" s="71"/>
      <c r="CQ17" s="71"/>
      <c r="CR17" s="71"/>
      <c r="CS17" s="71"/>
      <c r="CT17" s="71"/>
      <c r="CU17" s="71"/>
      <c r="CV17" s="71"/>
      <c r="CW17" s="71"/>
      <c r="CX17" s="71"/>
      <c r="CY17" s="71"/>
    </row>
    <row r="18" spans="1:103">
      <c r="B18" s="29" t="s">
        <v>163</v>
      </c>
      <c r="C18" s="10">
        <v>44957</v>
      </c>
      <c r="D18" s="10">
        <v>44957</v>
      </c>
      <c r="E18" s="13"/>
      <c r="F18" s="11">
        <v>1</v>
      </c>
      <c r="G18" s="90">
        <f t="shared" si="0"/>
        <v>0</v>
      </c>
      <c r="H18" s="71"/>
      <c r="I18" s="71"/>
      <c r="J18" s="71"/>
      <c r="K18" s="71"/>
      <c r="L18" s="71"/>
      <c r="M18" s="71"/>
      <c r="N18" s="71"/>
      <c r="O18" s="71"/>
      <c r="P18" s="71"/>
      <c r="Q18" s="71"/>
      <c r="R18" s="71"/>
      <c r="S18" s="71"/>
      <c r="T18" s="71"/>
      <c r="U18" s="70"/>
      <c r="V18" s="71"/>
      <c r="W18" s="71"/>
      <c r="X18" s="71"/>
      <c r="Y18" s="71"/>
      <c r="Z18" s="71"/>
      <c r="AA18" s="71"/>
      <c r="AB18" s="71"/>
      <c r="AC18" s="71"/>
      <c r="AD18" s="71"/>
      <c r="AE18" s="71"/>
      <c r="AF18" s="71"/>
      <c r="AG18" s="71"/>
      <c r="AH18" s="71"/>
      <c r="AI18" s="71"/>
      <c r="AJ18" s="71"/>
      <c r="AK18" s="71"/>
      <c r="AL18" s="71"/>
      <c r="AM18" s="71"/>
      <c r="AN18" s="71"/>
      <c r="AO18" s="71"/>
      <c r="AP18" s="71"/>
      <c r="AQ18" s="71"/>
      <c r="AR18" s="71"/>
      <c r="AS18" s="71"/>
      <c r="AT18" s="71"/>
      <c r="AU18" s="71"/>
      <c r="AV18" s="71"/>
      <c r="AW18" s="71"/>
      <c r="AX18" s="71"/>
      <c r="AY18" s="71"/>
      <c r="AZ18" s="71"/>
      <c r="BA18" s="71"/>
      <c r="BB18" s="71"/>
      <c r="BC18" s="71"/>
      <c r="BD18" s="71"/>
      <c r="BE18" s="71"/>
      <c r="BF18" s="71"/>
      <c r="BG18" s="71"/>
      <c r="BH18" s="71"/>
      <c r="BI18" s="71"/>
      <c r="BJ18" s="71"/>
      <c r="BK18" s="71"/>
      <c r="BL18" s="71"/>
      <c r="BM18" s="71"/>
      <c r="BN18" s="71"/>
      <c r="BO18" s="71"/>
      <c r="BP18" s="71"/>
      <c r="BQ18" s="71"/>
      <c r="BR18" s="71"/>
      <c r="BS18" s="71"/>
      <c r="BT18" s="71"/>
      <c r="BU18" s="71"/>
      <c r="BV18" s="71"/>
      <c r="BW18" s="71"/>
      <c r="BX18" s="71"/>
      <c r="BY18" s="71"/>
      <c r="BZ18" s="71"/>
      <c r="CA18" s="71"/>
      <c r="CB18" s="71"/>
      <c r="CC18" s="71"/>
      <c r="CD18" s="71"/>
      <c r="CE18" s="71"/>
      <c r="CF18" s="71"/>
      <c r="CG18" s="71"/>
      <c r="CH18" s="71"/>
      <c r="CI18" s="71"/>
      <c r="CJ18" s="71"/>
      <c r="CK18" s="71"/>
      <c r="CL18" s="71"/>
      <c r="CM18" s="71"/>
      <c r="CN18" s="71"/>
      <c r="CO18" s="71"/>
      <c r="CP18" s="71"/>
      <c r="CQ18" s="71"/>
      <c r="CR18" s="71"/>
      <c r="CS18" s="71"/>
      <c r="CT18" s="71"/>
      <c r="CU18" s="71"/>
      <c r="CV18" s="71"/>
      <c r="CW18" s="71"/>
      <c r="CX18" s="71"/>
      <c r="CY18" s="71"/>
    </row>
    <row r="19" spans="1:103">
      <c r="A19" s="29"/>
      <c r="B19" s="29" t="s">
        <v>164</v>
      </c>
      <c r="C19" s="10">
        <v>44958</v>
      </c>
      <c r="D19" s="10">
        <v>44959</v>
      </c>
      <c r="E19" s="13"/>
      <c r="F19" s="11">
        <v>2</v>
      </c>
      <c r="G19" s="86">
        <f t="shared" si="0"/>
        <v>0</v>
      </c>
      <c r="H19" s="71"/>
      <c r="I19" s="71"/>
      <c r="J19" s="71"/>
      <c r="K19" s="71"/>
      <c r="L19" s="71"/>
      <c r="M19" s="71"/>
      <c r="N19" s="71"/>
      <c r="O19" s="71"/>
      <c r="P19" s="71"/>
      <c r="Q19" s="71"/>
      <c r="R19" s="71"/>
      <c r="S19" s="71"/>
      <c r="T19" s="71"/>
      <c r="U19" s="71"/>
      <c r="V19" s="70"/>
      <c r="W19" s="70"/>
      <c r="X19" s="71"/>
      <c r="Y19" s="71"/>
      <c r="Z19" s="71"/>
      <c r="AA19" s="71"/>
      <c r="AB19" s="71"/>
      <c r="AC19" s="71"/>
      <c r="AD19" s="71"/>
      <c r="AE19" s="71"/>
      <c r="AF19" s="71"/>
      <c r="AG19" s="71"/>
      <c r="AH19" s="71"/>
      <c r="AI19" s="71"/>
      <c r="AJ19" s="71"/>
      <c r="AK19" s="71"/>
      <c r="AL19" s="71"/>
      <c r="AM19" s="71"/>
      <c r="AN19" s="71"/>
      <c r="AO19" s="71"/>
      <c r="AP19" s="71"/>
      <c r="AQ19" s="71"/>
      <c r="AR19" s="71"/>
      <c r="AS19" s="71"/>
      <c r="AT19" s="71"/>
      <c r="AU19" s="71"/>
      <c r="AV19" s="71"/>
      <c r="AW19" s="71"/>
      <c r="AX19" s="71"/>
      <c r="AY19" s="71"/>
      <c r="AZ19" s="71"/>
      <c r="BA19" s="71"/>
      <c r="BB19" s="71"/>
      <c r="BC19" s="71"/>
      <c r="BD19" s="71"/>
      <c r="BE19" s="71"/>
      <c r="BF19" s="71"/>
      <c r="BG19" s="71"/>
      <c r="BH19" s="71"/>
      <c r="BI19" s="71"/>
      <c r="BJ19" s="71"/>
      <c r="BK19" s="71"/>
      <c r="BL19" s="71"/>
      <c r="BM19" s="71"/>
      <c r="BN19" s="71"/>
      <c r="BO19" s="71"/>
      <c r="BP19" s="71"/>
      <c r="BQ19" s="71"/>
      <c r="BR19" s="71"/>
      <c r="BS19" s="71"/>
      <c r="BT19" s="71"/>
      <c r="BU19" s="71"/>
      <c r="BV19" s="71"/>
      <c r="BW19" s="71"/>
      <c r="BX19" s="71"/>
      <c r="BY19" s="71"/>
      <c r="BZ19" s="71"/>
      <c r="CA19" s="71"/>
      <c r="CB19" s="71"/>
      <c r="CC19" s="71"/>
      <c r="CD19" s="71"/>
      <c r="CE19" s="71"/>
      <c r="CF19" s="71"/>
      <c r="CG19" s="71"/>
      <c r="CH19" s="71"/>
      <c r="CI19" s="71"/>
      <c r="CJ19" s="71"/>
      <c r="CK19" s="71"/>
      <c r="CL19" s="71"/>
      <c r="CM19" s="71"/>
      <c r="CN19" s="71"/>
      <c r="CO19" s="71"/>
      <c r="CP19" s="71"/>
      <c r="CQ19" s="71"/>
      <c r="CR19" s="71"/>
      <c r="CS19" s="71"/>
      <c r="CT19" s="71"/>
      <c r="CU19" s="71"/>
      <c r="CV19" s="71"/>
      <c r="CW19" s="71"/>
      <c r="CX19" s="71"/>
      <c r="CY19" s="71"/>
    </row>
    <row r="20" spans="1:103">
      <c r="A20" s="59">
        <v>1.3</v>
      </c>
      <c r="B20" s="61" t="s">
        <v>165</v>
      </c>
      <c r="C20" s="10">
        <v>44960</v>
      </c>
      <c r="D20" s="10">
        <v>44966</v>
      </c>
      <c r="E20" s="13"/>
      <c r="F20" s="11">
        <v>7</v>
      </c>
      <c r="G20" s="86">
        <f t="shared" si="0"/>
        <v>0</v>
      </c>
      <c r="H20" s="71"/>
      <c r="I20" s="71"/>
      <c r="J20" s="71"/>
      <c r="K20" s="71"/>
      <c r="L20" s="71"/>
      <c r="M20" s="71"/>
      <c r="N20" s="71"/>
      <c r="O20" s="71"/>
      <c r="P20" s="71"/>
      <c r="Q20" s="71"/>
      <c r="R20" s="71"/>
      <c r="S20" s="71"/>
      <c r="T20" s="71"/>
      <c r="U20" s="71"/>
      <c r="V20" s="71"/>
      <c r="W20" s="71"/>
      <c r="X20" s="70"/>
      <c r="Y20" s="70"/>
      <c r="Z20" s="70"/>
      <c r="AA20" s="70"/>
      <c r="AB20" s="70"/>
      <c r="AC20" s="70"/>
      <c r="AD20" s="70"/>
      <c r="AE20" s="71"/>
      <c r="AF20" s="71"/>
      <c r="AG20" s="71"/>
      <c r="AH20" s="71"/>
      <c r="AI20" s="71"/>
      <c r="AJ20" s="71"/>
      <c r="AK20" s="71"/>
      <c r="AL20" s="71"/>
      <c r="AM20" s="71"/>
      <c r="AN20" s="71"/>
      <c r="AO20" s="71"/>
      <c r="AP20" s="71"/>
      <c r="AQ20" s="71"/>
      <c r="AR20" s="71"/>
      <c r="AS20" s="71"/>
      <c r="AT20" s="71"/>
      <c r="AU20" s="71"/>
      <c r="AV20" s="71"/>
      <c r="AW20" s="71"/>
      <c r="AX20" s="71"/>
      <c r="AY20" s="71"/>
      <c r="AZ20" s="71"/>
      <c r="BA20" s="71"/>
      <c r="BB20" s="71"/>
      <c r="BC20" s="71"/>
      <c r="BD20" s="71"/>
      <c r="BE20" s="71"/>
      <c r="BF20" s="71"/>
      <c r="BG20" s="71"/>
      <c r="BH20" s="71"/>
      <c r="BI20" s="71"/>
      <c r="BJ20" s="71"/>
      <c r="BK20" s="71"/>
      <c r="BL20" s="71"/>
      <c r="BM20" s="71"/>
      <c r="BN20" s="71"/>
      <c r="BO20" s="71"/>
      <c r="BP20" s="71"/>
      <c r="BQ20" s="71"/>
      <c r="BR20" s="71"/>
      <c r="BS20" s="71"/>
      <c r="BT20" s="71"/>
      <c r="BU20" s="71"/>
      <c r="BV20" s="71"/>
      <c r="BW20" s="71"/>
      <c r="BX20" s="71"/>
      <c r="BY20" s="71"/>
      <c r="BZ20" s="71"/>
      <c r="CA20" s="71"/>
      <c r="CB20" s="71"/>
      <c r="CC20" s="71"/>
      <c r="CD20" s="71"/>
      <c r="CE20" s="71"/>
      <c r="CF20" s="71"/>
      <c r="CG20" s="71"/>
      <c r="CH20" s="71"/>
      <c r="CI20" s="71"/>
      <c r="CJ20" s="71"/>
      <c r="CK20" s="71"/>
      <c r="CL20" s="71"/>
      <c r="CM20" s="71"/>
      <c r="CN20" s="71"/>
      <c r="CO20" s="71"/>
      <c r="CP20" s="71"/>
      <c r="CQ20" s="71"/>
      <c r="CR20" s="71"/>
      <c r="CS20" s="71"/>
      <c r="CT20" s="71"/>
      <c r="CU20" s="71"/>
      <c r="CV20" s="71"/>
      <c r="CW20" s="71"/>
      <c r="CX20" s="71"/>
      <c r="CY20" s="71"/>
    </row>
    <row r="21" spans="1:103">
      <c r="A21" s="29"/>
      <c r="B21" s="29" t="s">
        <v>166</v>
      </c>
      <c r="C21" s="10">
        <v>44960</v>
      </c>
      <c r="D21" s="10">
        <v>44961</v>
      </c>
      <c r="E21" s="13"/>
      <c r="F21" s="15">
        <v>2</v>
      </c>
      <c r="G21" s="86">
        <f t="shared" si="0"/>
        <v>0</v>
      </c>
      <c r="H21" s="71"/>
      <c r="I21" s="71"/>
      <c r="J21" s="71"/>
      <c r="K21" s="71"/>
      <c r="L21" s="71"/>
      <c r="M21" s="71"/>
      <c r="N21" s="71"/>
      <c r="O21" s="71"/>
      <c r="P21" s="71"/>
      <c r="Q21" s="71"/>
      <c r="R21" s="71"/>
      <c r="S21" s="71"/>
      <c r="T21" s="71"/>
      <c r="U21" s="71"/>
      <c r="V21" s="71"/>
      <c r="W21" s="71"/>
      <c r="X21" s="70"/>
      <c r="Y21" s="70"/>
      <c r="Z21" s="71"/>
      <c r="AA21" s="71"/>
      <c r="AB21" s="71"/>
      <c r="AC21" s="71"/>
      <c r="AD21" s="71"/>
      <c r="AE21" s="71"/>
      <c r="AF21" s="71"/>
      <c r="AG21" s="71"/>
      <c r="AH21" s="71"/>
      <c r="AI21" s="71"/>
      <c r="AJ21" s="71"/>
      <c r="AK21" s="71"/>
      <c r="AL21" s="71"/>
      <c r="AM21" s="71"/>
      <c r="AN21" s="71"/>
      <c r="AO21" s="71"/>
      <c r="AP21" s="71"/>
      <c r="AQ21" s="71"/>
      <c r="AR21" s="71"/>
      <c r="AS21" s="71"/>
      <c r="AT21" s="71"/>
      <c r="AU21" s="71"/>
      <c r="AV21" s="71"/>
      <c r="AW21" s="71"/>
      <c r="AX21" s="71"/>
      <c r="AY21" s="71"/>
      <c r="AZ21" s="71"/>
      <c r="BA21" s="71"/>
      <c r="BB21" s="71"/>
      <c r="BC21" s="71"/>
      <c r="BD21" s="71"/>
      <c r="BE21" s="71"/>
      <c r="BF21" s="71"/>
      <c r="BG21" s="71"/>
      <c r="BH21" s="71"/>
      <c r="BI21" s="71"/>
      <c r="BJ21" s="71"/>
      <c r="BK21" s="71"/>
      <c r="BL21" s="71"/>
      <c r="BM21" s="71"/>
      <c r="BN21" s="71"/>
      <c r="BO21" s="71"/>
      <c r="BP21" s="71"/>
      <c r="BQ21" s="71"/>
      <c r="BR21" s="71"/>
      <c r="BS21" s="71"/>
      <c r="BT21" s="71"/>
      <c r="BU21" s="71"/>
      <c r="BV21" s="71"/>
      <c r="BW21" s="71"/>
      <c r="BX21" s="71"/>
      <c r="BY21" s="71"/>
      <c r="BZ21" s="71"/>
      <c r="CA21" s="71"/>
      <c r="CB21" s="71"/>
      <c r="CC21" s="71"/>
      <c r="CD21" s="71"/>
      <c r="CE21" s="71"/>
      <c r="CF21" s="71"/>
      <c r="CG21" s="71"/>
      <c r="CH21" s="71"/>
      <c r="CI21" s="71"/>
      <c r="CJ21" s="71"/>
      <c r="CK21" s="71"/>
      <c r="CL21" s="71"/>
      <c r="CM21" s="71"/>
      <c r="CN21" s="71"/>
      <c r="CO21" s="71"/>
      <c r="CP21" s="71"/>
      <c r="CQ21" s="71"/>
      <c r="CR21" s="71"/>
      <c r="CS21" s="71"/>
      <c r="CT21" s="71"/>
      <c r="CU21" s="71"/>
      <c r="CV21" s="71"/>
      <c r="CW21" s="71"/>
      <c r="CX21" s="71"/>
      <c r="CY21" s="71"/>
    </row>
    <row r="22" spans="1:103">
      <c r="B22" s="29" t="s">
        <v>167</v>
      </c>
      <c r="C22" s="10">
        <v>44962</v>
      </c>
      <c r="D22" s="10">
        <v>44962</v>
      </c>
      <c r="E22" s="13"/>
      <c r="F22" s="15">
        <v>1</v>
      </c>
      <c r="G22" s="86">
        <f t="shared" si="0"/>
        <v>0</v>
      </c>
      <c r="H22" s="71"/>
      <c r="I22" s="71"/>
      <c r="J22" s="71"/>
      <c r="K22" s="71"/>
      <c r="L22" s="71"/>
      <c r="M22" s="71"/>
      <c r="N22" s="71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0"/>
      <c r="AA22" s="71"/>
      <c r="AB22" s="71"/>
      <c r="AC22" s="71"/>
      <c r="AD22" s="71"/>
      <c r="AE22" s="71"/>
      <c r="AF22" s="71"/>
      <c r="AG22" s="71"/>
      <c r="AH22" s="71"/>
      <c r="AI22" s="71"/>
      <c r="AJ22" s="71"/>
      <c r="AK22" s="71"/>
      <c r="AL22" s="71"/>
      <c r="AM22" s="71"/>
      <c r="AN22" s="71"/>
      <c r="AO22" s="71"/>
      <c r="AP22" s="71"/>
      <c r="AQ22" s="71"/>
      <c r="AR22" s="71"/>
      <c r="AS22" s="71"/>
      <c r="AT22" s="71"/>
      <c r="AU22" s="71"/>
      <c r="AV22" s="71"/>
      <c r="AW22" s="71"/>
      <c r="AX22" s="71"/>
      <c r="AY22" s="71"/>
      <c r="AZ22" s="71"/>
      <c r="BA22" s="71"/>
      <c r="BB22" s="71"/>
      <c r="BC22" s="71"/>
      <c r="BD22" s="71"/>
      <c r="BE22" s="71"/>
      <c r="BF22" s="71"/>
      <c r="BG22" s="71"/>
      <c r="BH22" s="71"/>
      <c r="BI22" s="71"/>
      <c r="BJ22" s="71"/>
      <c r="BK22" s="71"/>
      <c r="BL22" s="71"/>
      <c r="BM22" s="71"/>
      <c r="BN22" s="71"/>
      <c r="BO22" s="71"/>
      <c r="BP22" s="71"/>
      <c r="BQ22" s="71"/>
      <c r="BR22" s="71"/>
      <c r="BS22" s="71"/>
      <c r="BT22" s="71"/>
      <c r="BU22" s="71"/>
      <c r="BV22" s="71"/>
      <c r="BW22" s="71"/>
      <c r="BX22" s="71"/>
      <c r="BY22" s="71"/>
      <c r="BZ22" s="71"/>
      <c r="CA22" s="71"/>
      <c r="CB22" s="71"/>
      <c r="CC22" s="71"/>
      <c r="CD22" s="71"/>
      <c r="CE22" s="71"/>
      <c r="CF22" s="71"/>
      <c r="CG22" s="71"/>
      <c r="CH22" s="71"/>
      <c r="CI22" s="71"/>
      <c r="CJ22" s="71"/>
      <c r="CK22" s="71"/>
      <c r="CL22" s="71"/>
      <c r="CM22" s="71"/>
      <c r="CN22" s="71"/>
      <c r="CO22" s="71"/>
      <c r="CP22" s="71"/>
      <c r="CQ22" s="71"/>
      <c r="CR22" s="71"/>
      <c r="CS22" s="71"/>
      <c r="CT22" s="71"/>
      <c r="CU22" s="71"/>
      <c r="CV22" s="71"/>
      <c r="CW22" s="71"/>
      <c r="CX22" s="71"/>
      <c r="CY22" s="71"/>
    </row>
    <row r="23" spans="1:103">
      <c r="B23" s="29" t="s">
        <v>168</v>
      </c>
      <c r="C23" s="10">
        <v>44963</v>
      </c>
      <c r="D23" s="10">
        <v>44964</v>
      </c>
      <c r="E23" s="13"/>
      <c r="F23" s="15">
        <v>2</v>
      </c>
      <c r="G23" s="90">
        <f t="shared" si="0"/>
        <v>0</v>
      </c>
      <c r="H23" s="71"/>
      <c r="I23" s="71"/>
      <c r="J23" s="71"/>
      <c r="K23" s="71"/>
      <c r="L23" s="71"/>
      <c r="M23" s="71"/>
      <c r="N23" s="71"/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0"/>
      <c r="AB23" s="70"/>
      <c r="AC23" s="71"/>
      <c r="AD23" s="71"/>
      <c r="AE23" s="71"/>
      <c r="AF23" s="71"/>
      <c r="AG23" s="71"/>
      <c r="AH23" s="71"/>
      <c r="AI23" s="71"/>
      <c r="AJ23" s="71"/>
      <c r="AK23" s="71"/>
      <c r="AL23" s="71"/>
      <c r="AM23" s="71"/>
      <c r="AN23" s="71"/>
      <c r="AO23" s="71"/>
      <c r="AP23" s="71"/>
      <c r="AQ23" s="71"/>
      <c r="AR23" s="71"/>
      <c r="AS23" s="71"/>
      <c r="AT23" s="71"/>
      <c r="AU23" s="71"/>
      <c r="AV23" s="71"/>
      <c r="AW23" s="71"/>
      <c r="AX23" s="71"/>
      <c r="AY23" s="71"/>
      <c r="AZ23" s="71"/>
      <c r="BA23" s="71"/>
      <c r="BB23" s="71"/>
      <c r="BC23" s="71"/>
      <c r="BD23" s="71"/>
      <c r="BE23" s="71"/>
      <c r="BF23" s="71"/>
      <c r="BG23" s="71"/>
      <c r="BH23" s="71"/>
      <c r="BI23" s="71"/>
      <c r="BJ23" s="71"/>
      <c r="BK23" s="71"/>
      <c r="BL23" s="71"/>
      <c r="BM23" s="71"/>
      <c r="BN23" s="71"/>
      <c r="BO23" s="71"/>
      <c r="BP23" s="71"/>
      <c r="BQ23" s="71"/>
      <c r="BR23" s="71"/>
      <c r="BS23" s="71"/>
      <c r="BT23" s="71"/>
      <c r="BU23" s="71"/>
      <c r="BV23" s="71"/>
      <c r="BW23" s="71"/>
      <c r="BX23" s="71"/>
      <c r="BY23" s="71"/>
      <c r="BZ23" s="71"/>
      <c r="CA23" s="71"/>
      <c r="CB23" s="71"/>
      <c r="CC23" s="71"/>
      <c r="CD23" s="71"/>
      <c r="CE23" s="71"/>
      <c r="CF23" s="71"/>
      <c r="CG23" s="71"/>
      <c r="CH23" s="71"/>
      <c r="CI23" s="71"/>
      <c r="CJ23" s="71"/>
      <c r="CK23" s="71"/>
      <c r="CL23" s="71"/>
      <c r="CM23" s="71"/>
      <c r="CN23" s="71"/>
      <c r="CO23" s="71"/>
      <c r="CP23" s="71"/>
      <c r="CQ23" s="71"/>
      <c r="CR23" s="71"/>
      <c r="CS23" s="71"/>
      <c r="CT23" s="71"/>
      <c r="CU23" s="71"/>
      <c r="CV23" s="71"/>
      <c r="CW23" s="71"/>
      <c r="CX23" s="71"/>
      <c r="CY23" s="71"/>
    </row>
    <row r="24" spans="1:103">
      <c r="B24" s="29" t="s">
        <v>169</v>
      </c>
      <c r="C24" s="10">
        <v>44965</v>
      </c>
      <c r="D24" s="10">
        <v>44966</v>
      </c>
      <c r="E24" s="13"/>
      <c r="F24" s="15">
        <v>2</v>
      </c>
      <c r="G24" s="90">
        <f t="shared" si="0"/>
        <v>0</v>
      </c>
      <c r="H24" s="71"/>
      <c r="I24" s="71"/>
      <c r="J24" s="71"/>
      <c r="K24" s="71"/>
      <c r="L24" s="71"/>
      <c r="M24" s="71"/>
      <c r="N24" s="71"/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70"/>
      <c r="AD24" s="70"/>
      <c r="AE24" s="71"/>
      <c r="AF24" s="71"/>
      <c r="AG24" s="71"/>
      <c r="AH24" s="71"/>
      <c r="AI24" s="71"/>
      <c r="AJ24" s="71"/>
      <c r="AK24" s="71"/>
      <c r="AL24" s="71"/>
      <c r="AM24" s="71"/>
      <c r="AN24" s="71"/>
      <c r="AO24" s="71"/>
      <c r="AP24" s="71"/>
      <c r="AQ24" s="71"/>
      <c r="AR24" s="71"/>
      <c r="AS24" s="71"/>
      <c r="AT24" s="71"/>
      <c r="AU24" s="71"/>
      <c r="AV24" s="71"/>
      <c r="AW24" s="71"/>
      <c r="AX24" s="71"/>
      <c r="AY24" s="71"/>
      <c r="AZ24" s="71"/>
      <c r="BA24" s="71"/>
      <c r="BB24" s="71"/>
      <c r="BC24" s="71"/>
      <c r="BD24" s="71"/>
      <c r="BE24" s="71"/>
      <c r="BF24" s="71"/>
      <c r="BG24" s="71"/>
      <c r="BH24" s="71"/>
      <c r="BI24" s="71"/>
      <c r="BJ24" s="71"/>
      <c r="BK24" s="71"/>
      <c r="BL24" s="71"/>
      <c r="BM24" s="71"/>
      <c r="BN24" s="71"/>
      <c r="BO24" s="71"/>
      <c r="BP24" s="71"/>
      <c r="BQ24" s="71"/>
      <c r="BR24" s="71"/>
      <c r="BS24" s="71"/>
      <c r="BT24" s="71"/>
      <c r="BU24" s="71"/>
      <c r="BV24" s="71"/>
      <c r="BW24" s="71"/>
      <c r="BX24" s="71"/>
      <c r="BY24" s="71"/>
      <c r="BZ24" s="71"/>
      <c r="CA24" s="71"/>
      <c r="CB24" s="71"/>
      <c r="CC24" s="71"/>
      <c r="CD24" s="71"/>
      <c r="CE24" s="71"/>
      <c r="CF24" s="71"/>
      <c r="CG24" s="71"/>
      <c r="CH24" s="71"/>
      <c r="CI24" s="71"/>
      <c r="CJ24" s="71"/>
      <c r="CK24" s="71"/>
      <c r="CL24" s="71"/>
      <c r="CM24" s="71"/>
      <c r="CN24" s="71"/>
      <c r="CO24" s="71"/>
      <c r="CP24" s="71"/>
      <c r="CQ24" s="71"/>
      <c r="CR24" s="71"/>
      <c r="CS24" s="71"/>
      <c r="CT24" s="71"/>
      <c r="CU24" s="71"/>
      <c r="CV24" s="71"/>
      <c r="CW24" s="71"/>
      <c r="CX24" s="71"/>
      <c r="CY24" s="71"/>
    </row>
    <row r="25" spans="1:103">
      <c r="A25" s="58">
        <v>2</v>
      </c>
      <c r="B25" s="58" t="s">
        <v>35</v>
      </c>
      <c r="C25" s="10">
        <v>44967</v>
      </c>
      <c r="D25" s="10">
        <v>44985</v>
      </c>
      <c r="E25" s="13"/>
      <c r="F25" s="15">
        <v>19</v>
      </c>
      <c r="G25" s="86">
        <f t="shared" si="0"/>
        <v>0</v>
      </c>
      <c r="H25" s="71"/>
      <c r="I25" s="71"/>
      <c r="J25" s="71"/>
      <c r="K25" s="71"/>
      <c r="L25" s="71"/>
      <c r="M25" s="71"/>
      <c r="N25" s="71"/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71"/>
      <c r="AD25" s="71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  <c r="AR25" s="70"/>
      <c r="AS25" s="70"/>
      <c r="AT25" s="70"/>
      <c r="AU25" s="70"/>
      <c r="AV25" s="70"/>
      <c r="AW25" s="70"/>
      <c r="AX25" s="71"/>
      <c r="AY25" s="71"/>
      <c r="AZ25" s="71"/>
      <c r="BA25" s="71"/>
      <c r="BB25" s="71"/>
      <c r="BC25" s="71"/>
      <c r="BD25" s="71"/>
      <c r="BE25" s="71"/>
      <c r="BF25" s="71"/>
      <c r="BG25" s="71"/>
      <c r="BH25" s="71"/>
      <c r="BI25" s="71"/>
      <c r="BJ25" s="71"/>
      <c r="BK25" s="71"/>
      <c r="BL25" s="71"/>
      <c r="BM25" s="71"/>
      <c r="BN25" s="71"/>
      <c r="BO25" s="71"/>
      <c r="BP25" s="71"/>
      <c r="BQ25" s="71"/>
      <c r="BR25" s="71"/>
      <c r="BS25" s="71"/>
      <c r="BT25" s="71"/>
      <c r="BU25" s="71"/>
      <c r="BV25" s="71"/>
      <c r="BW25" s="71"/>
      <c r="BX25" s="71"/>
      <c r="BY25" s="71"/>
      <c r="BZ25" s="71"/>
      <c r="CA25" s="71"/>
      <c r="CB25" s="71"/>
      <c r="CC25" s="71"/>
      <c r="CD25" s="71"/>
      <c r="CE25" s="71"/>
      <c r="CF25" s="71"/>
      <c r="CG25" s="71"/>
      <c r="CH25" s="71"/>
      <c r="CI25" s="71"/>
      <c r="CJ25" s="71"/>
      <c r="CK25" s="71"/>
      <c r="CL25" s="71"/>
      <c r="CM25" s="71"/>
      <c r="CN25" s="71"/>
      <c r="CO25" s="71"/>
      <c r="CP25" s="71"/>
      <c r="CQ25" s="71"/>
      <c r="CR25" s="71"/>
      <c r="CS25" s="71"/>
      <c r="CT25" s="71"/>
      <c r="CU25" s="71"/>
      <c r="CV25" s="71"/>
      <c r="CW25" s="71"/>
      <c r="CX25" s="71"/>
      <c r="CY25" s="71"/>
    </row>
    <row r="26" spans="1:103">
      <c r="A26" s="61">
        <v>2.1</v>
      </c>
      <c r="B26" s="61" t="s">
        <v>170</v>
      </c>
      <c r="C26" s="10">
        <v>44967</v>
      </c>
      <c r="D26" s="10">
        <v>44973</v>
      </c>
      <c r="E26" s="13"/>
      <c r="F26" s="15">
        <v>7</v>
      </c>
      <c r="G26" s="86">
        <f t="shared" si="0"/>
        <v>0</v>
      </c>
      <c r="H26" s="71"/>
      <c r="I26" s="71"/>
      <c r="J26" s="71"/>
      <c r="K26" s="71"/>
      <c r="L26" s="71"/>
      <c r="M26" s="71"/>
      <c r="N26" s="71"/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1"/>
      <c r="AB26" s="71"/>
      <c r="AC26" s="71"/>
      <c r="AD26" s="71"/>
      <c r="AE26" s="70"/>
      <c r="AF26" s="70"/>
      <c r="AG26" s="70"/>
      <c r="AH26" s="70"/>
      <c r="AI26" s="70"/>
      <c r="AJ26" s="70"/>
      <c r="AK26" s="70"/>
      <c r="AL26" s="70"/>
      <c r="AM26" s="70"/>
      <c r="AN26" s="71"/>
      <c r="AO26" s="71"/>
      <c r="AP26" s="71"/>
      <c r="AQ26" s="71"/>
      <c r="AR26" s="71"/>
      <c r="AS26" s="71"/>
      <c r="AT26" s="71"/>
      <c r="AU26" s="71"/>
      <c r="AV26" s="71"/>
      <c r="AW26" s="71"/>
      <c r="AX26" s="71"/>
      <c r="AY26" s="71"/>
      <c r="AZ26" s="71"/>
      <c r="BA26" s="71"/>
      <c r="BB26" s="71"/>
      <c r="BC26" s="71"/>
      <c r="BD26" s="71"/>
      <c r="BE26" s="71"/>
      <c r="BF26" s="71"/>
      <c r="BG26" s="71"/>
      <c r="BH26" s="71"/>
      <c r="BI26" s="71"/>
      <c r="BJ26" s="71"/>
      <c r="BK26" s="71"/>
      <c r="BL26" s="71"/>
      <c r="BM26" s="71"/>
      <c r="BN26" s="71"/>
      <c r="BO26" s="71"/>
      <c r="BP26" s="71"/>
      <c r="BQ26" s="71"/>
      <c r="BR26" s="71"/>
      <c r="BS26" s="71"/>
      <c r="BT26" s="71"/>
      <c r="BU26" s="71"/>
      <c r="BV26" s="71"/>
      <c r="BW26" s="71"/>
      <c r="BX26" s="71"/>
      <c r="BY26" s="71"/>
      <c r="BZ26" s="71"/>
      <c r="CA26" s="71"/>
      <c r="CB26" s="71"/>
      <c r="CC26" s="71"/>
      <c r="CD26" s="71"/>
      <c r="CE26" s="71"/>
      <c r="CF26" s="71"/>
      <c r="CG26" s="71"/>
      <c r="CH26" s="71"/>
      <c r="CI26" s="71"/>
      <c r="CJ26" s="71"/>
      <c r="CK26" s="71"/>
      <c r="CL26" s="71"/>
      <c r="CM26" s="71"/>
      <c r="CN26" s="71"/>
      <c r="CO26" s="71"/>
      <c r="CP26" s="71"/>
      <c r="CQ26" s="71"/>
      <c r="CR26" s="71"/>
      <c r="CS26" s="71"/>
      <c r="CT26" s="71"/>
      <c r="CU26" s="71"/>
      <c r="CV26" s="71"/>
      <c r="CW26" s="71"/>
      <c r="CX26" s="71"/>
      <c r="CY26" s="71"/>
    </row>
    <row r="27" spans="1:103">
      <c r="B27" s="29" t="s">
        <v>171</v>
      </c>
      <c r="C27" s="10">
        <v>44967</v>
      </c>
      <c r="D27" s="10">
        <v>44969</v>
      </c>
      <c r="E27" s="13"/>
      <c r="F27" s="16">
        <v>3</v>
      </c>
      <c r="G27" s="86">
        <f t="shared" si="0"/>
        <v>0</v>
      </c>
      <c r="H27" s="71"/>
      <c r="I27" s="71"/>
      <c r="J27" s="71"/>
      <c r="K27" s="71"/>
      <c r="L27" s="71"/>
      <c r="M27" s="71"/>
      <c r="N27" s="71"/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  <c r="AA27" s="71"/>
      <c r="AB27" s="71"/>
      <c r="AC27" s="71"/>
      <c r="AD27" s="71"/>
      <c r="AE27" s="70"/>
      <c r="AF27" s="70"/>
      <c r="AG27" s="70"/>
      <c r="AH27" s="71"/>
      <c r="AI27" s="71"/>
      <c r="AJ27" s="71"/>
      <c r="AK27" s="71"/>
      <c r="AL27" s="71"/>
      <c r="AM27" s="71"/>
      <c r="AN27" s="71"/>
      <c r="AO27" s="71"/>
      <c r="AP27" s="71"/>
      <c r="AQ27" s="71"/>
      <c r="AR27" s="71"/>
      <c r="AS27" s="71"/>
      <c r="AT27" s="71"/>
      <c r="AU27" s="71"/>
      <c r="AV27" s="71"/>
      <c r="AW27" s="71"/>
      <c r="AX27" s="71"/>
      <c r="AY27" s="71"/>
      <c r="AZ27" s="71"/>
      <c r="BA27" s="71"/>
      <c r="BB27" s="71"/>
      <c r="BC27" s="71"/>
      <c r="BD27" s="71"/>
      <c r="BE27" s="71"/>
      <c r="BF27" s="71"/>
      <c r="BG27" s="71"/>
      <c r="BH27" s="71"/>
      <c r="BI27" s="71"/>
      <c r="BJ27" s="71"/>
      <c r="BK27" s="71"/>
      <c r="BL27" s="71"/>
      <c r="BM27" s="71"/>
      <c r="BN27" s="71"/>
      <c r="BO27" s="71"/>
      <c r="BP27" s="71"/>
      <c r="BQ27" s="71"/>
      <c r="BR27" s="71"/>
      <c r="BS27" s="71"/>
      <c r="BT27" s="71"/>
      <c r="BU27" s="71"/>
      <c r="BV27" s="71"/>
      <c r="BW27" s="71"/>
      <c r="BX27" s="71"/>
      <c r="BY27" s="71"/>
      <c r="BZ27" s="71"/>
      <c r="CA27" s="71"/>
      <c r="CB27" s="71"/>
      <c r="CC27" s="71"/>
      <c r="CD27" s="71"/>
      <c r="CE27" s="71"/>
      <c r="CF27" s="71"/>
      <c r="CG27" s="71"/>
      <c r="CH27" s="71"/>
      <c r="CI27" s="71"/>
      <c r="CJ27" s="71"/>
      <c r="CK27" s="71"/>
      <c r="CL27" s="71"/>
      <c r="CM27" s="71"/>
      <c r="CN27" s="71"/>
      <c r="CO27" s="71"/>
      <c r="CP27" s="71"/>
      <c r="CQ27" s="71"/>
      <c r="CR27" s="71"/>
      <c r="CS27" s="71"/>
      <c r="CT27" s="71"/>
      <c r="CU27" s="71"/>
      <c r="CV27" s="71"/>
      <c r="CW27" s="71"/>
      <c r="CX27" s="71"/>
      <c r="CY27" s="71"/>
    </row>
    <row r="28" spans="1:103">
      <c r="B28" s="29" t="s">
        <v>172</v>
      </c>
      <c r="C28" s="10">
        <v>44970</v>
      </c>
      <c r="D28" s="10">
        <v>44973</v>
      </c>
      <c r="E28" s="13"/>
      <c r="F28" s="15">
        <v>4</v>
      </c>
      <c r="G28" s="86">
        <f t="shared" si="0"/>
        <v>0</v>
      </c>
      <c r="H28" s="71"/>
      <c r="I28" s="71"/>
      <c r="J28" s="71"/>
      <c r="K28" s="71"/>
      <c r="L28" s="71"/>
      <c r="M28" s="71"/>
      <c r="N28" s="7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0"/>
      <c r="AI28" s="70"/>
      <c r="AJ28" s="70"/>
      <c r="AK28" s="70"/>
      <c r="AL28" s="71"/>
      <c r="AM28" s="71"/>
      <c r="AN28" s="71"/>
      <c r="AO28" s="71"/>
      <c r="AP28" s="71"/>
      <c r="AQ28" s="71"/>
      <c r="AR28" s="71"/>
      <c r="AS28" s="71"/>
      <c r="AT28" s="71"/>
      <c r="AU28" s="71"/>
      <c r="AV28" s="71"/>
      <c r="AW28" s="71"/>
      <c r="AX28" s="71"/>
      <c r="AY28" s="71"/>
      <c r="AZ28" s="71"/>
      <c r="BA28" s="71"/>
      <c r="BB28" s="71"/>
      <c r="BC28" s="71"/>
      <c r="BD28" s="71"/>
      <c r="BE28" s="71"/>
      <c r="BF28" s="71"/>
      <c r="BG28" s="71"/>
      <c r="BH28" s="71"/>
      <c r="BI28" s="71"/>
      <c r="BJ28" s="71"/>
      <c r="BK28" s="71"/>
      <c r="BL28" s="71"/>
      <c r="BM28" s="71"/>
      <c r="BN28" s="71"/>
      <c r="BO28" s="71"/>
      <c r="BP28" s="71"/>
      <c r="BQ28" s="71"/>
      <c r="BR28" s="71"/>
      <c r="BS28" s="71"/>
      <c r="BT28" s="71"/>
      <c r="BU28" s="71"/>
      <c r="BV28" s="71"/>
      <c r="BW28" s="71"/>
      <c r="BX28" s="71"/>
      <c r="BY28" s="71"/>
      <c r="BZ28" s="71"/>
      <c r="CA28" s="71"/>
      <c r="CB28" s="71"/>
      <c r="CC28" s="71"/>
      <c r="CD28" s="71"/>
      <c r="CE28" s="71"/>
      <c r="CF28" s="71"/>
      <c r="CG28" s="71"/>
      <c r="CH28" s="71"/>
      <c r="CI28" s="71"/>
      <c r="CJ28" s="71"/>
      <c r="CK28" s="71"/>
      <c r="CL28" s="71"/>
      <c r="CM28" s="71"/>
      <c r="CN28" s="71"/>
      <c r="CO28" s="71"/>
      <c r="CP28" s="71"/>
      <c r="CQ28" s="71"/>
      <c r="CR28" s="71"/>
      <c r="CS28" s="71"/>
      <c r="CT28" s="71"/>
      <c r="CU28" s="71"/>
      <c r="CV28" s="71"/>
      <c r="CW28" s="71"/>
      <c r="CX28" s="71"/>
      <c r="CY28" s="71"/>
    </row>
    <row r="29" spans="1:103">
      <c r="A29" s="61">
        <v>2.2000000000000002</v>
      </c>
      <c r="B29" s="61" t="s">
        <v>173</v>
      </c>
      <c r="C29" s="10">
        <v>44974</v>
      </c>
      <c r="D29" s="10">
        <v>54</v>
      </c>
      <c r="E29" s="13"/>
      <c r="F29" s="15">
        <v>7</v>
      </c>
      <c r="G29" s="86">
        <f t="shared" si="0"/>
        <v>0</v>
      </c>
      <c r="H29" s="71"/>
      <c r="I29" s="71"/>
      <c r="J29" s="71"/>
      <c r="K29" s="71"/>
      <c r="L29" s="71"/>
      <c r="M29" s="71"/>
      <c r="N29" s="71"/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  <c r="AA29" s="71"/>
      <c r="AB29" s="71"/>
      <c r="AC29" s="71"/>
      <c r="AD29" s="71"/>
      <c r="AE29" s="71"/>
      <c r="AF29" s="71"/>
      <c r="AG29" s="71"/>
      <c r="AH29" s="71"/>
      <c r="AI29" s="71"/>
      <c r="AJ29" s="71"/>
      <c r="AK29" s="71"/>
      <c r="AL29" s="70"/>
      <c r="AM29" s="70"/>
      <c r="AN29" s="70"/>
      <c r="AO29" s="70"/>
      <c r="AP29" s="70"/>
      <c r="AQ29" s="70"/>
      <c r="AR29" s="70"/>
      <c r="AS29" s="71"/>
      <c r="AT29" s="71"/>
      <c r="AU29" s="71"/>
      <c r="AV29" s="71"/>
      <c r="AW29" s="71"/>
      <c r="AX29" s="71"/>
      <c r="AY29" s="71"/>
      <c r="AZ29" s="71"/>
      <c r="BA29" s="71"/>
      <c r="BB29" s="71"/>
      <c r="BC29" s="71"/>
      <c r="BD29" s="71"/>
      <c r="BE29" s="71"/>
      <c r="BF29" s="71"/>
      <c r="BG29" s="71"/>
      <c r="BH29" s="71"/>
      <c r="BI29" s="71"/>
      <c r="BJ29" s="71"/>
      <c r="BK29" s="71"/>
      <c r="BL29" s="71"/>
      <c r="BM29" s="71"/>
      <c r="BN29" s="71"/>
      <c r="BO29" s="71"/>
      <c r="BP29" s="71"/>
      <c r="BQ29" s="71"/>
      <c r="BR29" s="71"/>
      <c r="BS29" s="71"/>
      <c r="BT29" s="71"/>
      <c r="BU29" s="71"/>
      <c r="BV29" s="71"/>
      <c r="BW29" s="71"/>
      <c r="BX29" s="71"/>
      <c r="BY29" s="71"/>
      <c r="BZ29" s="71"/>
      <c r="CA29" s="71"/>
      <c r="CB29" s="71"/>
      <c r="CC29" s="71"/>
      <c r="CD29" s="71"/>
      <c r="CE29" s="71"/>
      <c r="CF29" s="71"/>
      <c r="CG29" s="71"/>
      <c r="CH29" s="71"/>
      <c r="CI29" s="71"/>
      <c r="CJ29" s="71"/>
      <c r="CK29" s="71"/>
      <c r="CL29" s="71"/>
      <c r="CM29" s="71"/>
      <c r="CN29" s="71"/>
      <c r="CO29" s="71"/>
      <c r="CP29" s="71"/>
      <c r="CQ29" s="71"/>
      <c r="CR29" s="71"/>
      <c r="CS29" s="71"/>
      <c r="CT29" s="71"/>
      <c r="CU29" s="71"/>
      <c r="CV29" s="71"/>
      <c r="CW29" s="71"/>
      <c r="CX29" s="71"/>
      <c r="CY29" s="71"/>
    </row>
    <row r="30" spans="1:103">
      <c r="B30" s="29" t="s">
        <v>174</v>
      </c>
      <c r="C30" s="39">
        <v>45705</v>
      </c>
      <c r="D30" s="39">
        <v>45706</v>
      </c>
      <c r="E30" s="62"/>
      <c r="F30">
        <v>2</v>
      </c>
      <c r="G30" s="86">
        <f t="shared" si="0"/>
        <v>0</v>
      </c>
      <c r="H30" s="71"/>
      <c r="I30" s="71"/>
      <c r="J30" s="71"/>
      <c r="K30" s="71"/>
      <c r="L30" s="71"/>
      <c r="M30" s="71"/>
      <c r="N30" s="71"/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  <c r="AH30" s="71"/>
      <c r="AI30" s="71"/>
      <c r="AJ30" s="71"/>
      <c r="AK30" s="71"/>
      <c r="AL30" s="70"/>
      <c r="AM30" s="70"/>
      <c r="AN30" s="71"/>
      <c r="AO30" s="71"/>
      <c r="AP30" s="71"/>
      <c r="AQ30" s="71"/>
      <c r="AR30" s="71"/>
      <c r="AS30" s="71"/>
      <c r="AT30" s="71"/>
      <c r="AU30" s="71"/>
      <c r="AV30" s="71"/>
      <c r="AW30" s="71"/>
      <c r="AX30" s="71"/>
      <c r="AY30" s="71"/>
      <c r="AZ30" s="71"/>
      <c r="BA30" s="71"/>
      <c r="BB30" s="71"/>
      <c r="BC30" s="71"/>
      <c r="BD30" s="71"/>
      <c r="BE30" s="71"/>
      <c r="BF30" s="71"/>
      <c r="BG30" s="71"/>
      <c r="BH30" s="71"/>
      <c r="BI30" s="71"/>
      <c r="BJ30" s="71"/>
      <c r="BK30" s="71"/>
      <c r="BL30" s="71"/>
      <c r="BM30" s="71"/>
      <c r="BN30" s="71"/>
      <c r="BO30" s="71"/>
      <c r="BP30" s="71"/>
      <c r="BQ30" s="71"/>
      <c r="BR30" s="71"/>
      <c r="BS30" s="71"/>
      <c r="BT30" s="71"/>
      <c r="BU30" s="71"/>
      <c r="BV30" s="71"/>
      <c r="BW30" s="71"/>
      <c r="BX30" s="71"/>
      <c r="BY30" s="71"/>
      <c r="BZ30" s="71"/>
      <c r="CA30" s="71"/>
      <c r="CB30" s="71"/>
      <c r="CC30" s="71"/>
      <c r="CD30" s="71"/>
      <c r="CE30" s="71"/>
      <c r="CF30" s="71"/>
      <c r="CG30" s="71"/>
      <c r="CH30" s="71"/>
      <c r="CI30" s="71"/>
      <c r="CJ30" s="71"/>
      <c r="CK30" s="71"/>
      <c r="CL30" s="71"/>
      <c r="CM30" s="71"/>
      <c r="CN30" s="71"/>
      <c r="CO30" s="71"/>
      <c r="CP30" s="71"/>
      <c r="CQ30" s="71"/>
      <c r="CR30" s="71"/>
      <c r="CS30" s="71"/>
      <c r="CT30" s="71"/>
      <c r="CU30" s="71"/>
      <c r="CV30" s="71"/>
      <c r="CW30" s="71"/>
      <c r="CX30" s="71"/>
      <c r="CY30" s="71"/>
    </row>
    <row r="31" spans="1:103">
      <c r="B31" s="29" t="s">
        <v>175</v>
      </c>
      <c r="C31" s="64">
        <v>45707</v>
      </c>
      <c r="D31" s="64">
        <v>45708</v>
      </c>
      <c r="E31" s="62"/>
      <c r="F31">
        <v>2</v>
      </c>
      <c r="G31" s="86">
        <f t="shared" si="0"/>
        <v>0</v>
      </c>
      <c r="H31" s="71"/>
      <c r="I31" s="71"/>
      <c r="J31" s="71"/>
      <c r="K31" s="71"/>
      <c r="L31" s="71"/>
      <c r="M31" s="71"/>
      <c r="N31" s="71"/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  <c r="AA31" s="71"/>
      <c r="AB31" s="71"/>
      <c r="AC31" s="71"/>
      <c r="AD31" s="71"/>
      <c r="AE31" s="71"/>
      <c r="AF31" s="71"/>
      <c r="AG31" s="71"/>
      <c r="AH31" s="71"/>
      <c r="AI31" s="71"/>
      <c r="AJ31" s="71"/>
      <c r="AK31" s="71"/>
      <c r="AL31" s="71"/>
      <c r="AM31" s="71"/>
      <c r="AN31" s="70"/>
      <c r="AO31" s="70"/>
      <c r="AP31" s="71"/>
      <c r="AQ31" s="71"/>
      <c r="AR31" s="71"/>
      <c r="AS31" s="71"/>
      <c r="AT31" s="71"/>
      <c r="AU31" s="71"/>
      <c r="AV31" s="71"/>
      <c r="AW31" s="71"/>
      <c r="AX31" s="71"/>
      <c r="AY31" s="71"/>
      <c r="AZ31" s="71"/>
      <c r="BA31" s="71"/>
      <c r="BB31" s="71"/>
      <c r="BC31" s="71"/>
      <c r="BD31" s="71"/>
      <c r="BE31" s="71"/>
      <c r="BF31" s="71"/>
      <c r="BG31" s="71"/>
      <c r="BH31" s="71"/>
      <c r="BI31" s="71"/>
      <c r="BJ31" s="71"/>
      <c r="BK31" s="71"/>
      <c r="BL31" s="71"/>
      <c r="BM31" s="71"/>
      <c r="BN31" s="71"/>
      <c r="BO31" s="71"/>
      <c r="BP31" s="71"/>
      <c r="BQ31" s="71"/>
      <c r="BR31" s="71"/>
      <c r="BS31" s="71"/>
      <c r="BT31" s="71"/>
      <c r="BU31" s="71"/>
      <c r="BV31" s="71"/>
      <c r="BW31" s="71"/>
      <c r="BX31" s="71"/>
      <c r="BY31" s="71"/>
      <c r="BZ31" s="71"/>
      <c r="CA31" s="71"/>
      <c r="CB31" s="71"/>
      <c r="CC31" s="71"/>
      <c r="CD31" s="71"/>
      <c r="CE31" s="71"/>
      <c r="CF31" s="71"/>
      <c r="CG31" s="71"/>
      <c r="CH31" s="71"/>
      <c r="CI31" s="71"/>
      <c r="CJ31" s="71"/>
      <c r="CK31" s="71"/>
      <c r="CL31" s="71"/>
      <c r="CM31" s="71"/>
      <c r="CN31" s="71"/>
      <c r="CO31" s="71"/>
      <c r="CP31" s="71"/>
      <c r="CQ31" s="71"/>
      <c r="CR31" s="71"/>
      <c r="CS31" s="71"/>
      <c r="CT31" s="71"/>
      <c r="CU31" s="71"/>
      <c r="CV31" s="71"/>
      <c r="CW31" s="71"/>
      <c r="CX31" s="71"/>
      <c r="CY31" s="71"/>
    </row>
    <row r="32" spans="1:103">
      <c r="B32" s="29" t="s">
        <v>176</v>
      </c>
      <c r="C32" s="64">
        <v>45709</v>
      </c>
      <c r="D32" s="64">
        <v>45711</v>
      </c>
      <c r="E32" s="62"/>
      <c r="F32">
        <v>3</v>
      </c>
      <c r="G32" s="86">
        <f t="shared" si="0"/>
        <v>0</v>
      </c>
      <c r="H32" s="71"/>
      <c r="I32" s="71"/>
      <c r="J32" s="71"/>
      <c r="K32" s="71"/>
      <c r="L32" s="71"/>
      <c r="M32" s="71"/>
      <c r="N32" s="71"/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  <c r="AA32" s="71"/>
      <c r="AB32" s="71"/>
      <c r="AC32" s="71"/>
      <c r="AD32" s="71"/>
      <c r="AE32" s="71"/>
      <c r="AF32" s="71"/>
      <c r="AG32" s="71"/>
      <c r="AH32" s="71"/>
      <c r="AI32" s="71"/>
      <c r="AJ32" s="71"/>
      <c r="AK32" s="71"/>
      <c r="AL32" s="71"/>
      <c r="AM32" s="71"/>
      <c r="AN32" s="71"/>
      <c r="AO32" s="71"/>
      <c r="AP32" s="70"/>
      <c r="AQ32" s="70"/>
      <c r="AR32" s="70"/>
      <c r="AS32" s="71"/>
      <c r="AT32" s="71"/>
      <c r="AU32" s="71"/>
      <c r="AV32" s="71"/>
      <c r="AW32" s="71"/>
      <c r="AX32" s="71"/>
      <c r="AY32" s="71"/>
      <c r="AZ32" s="71"/>
      <c r="BA32" s="71"/>
      <c r="BB32" s="71"/>
      <c r="BC32" s="71"/>
      <c r="BD32" s="71"/>
      <c r="BE32" s="71"/>
      <c r="BF32" s="71"/>
      <c r="BG32" s="71"/>
      <c r="BH32" s="71"/>
      <c r="BI32" s="71"/>
      <c r="BJ32" s="71"/>
      <c r="BK32" s="71"/>
      <c r="BL32" s="71"/>
      <c r="BM32" s="71"/>
      <c r="BN32" s="71"/>
      <c r="BO32" s="71"/>
      <c r="BP32" s="71"/>
      <c r="BQ32" s="71"/>
      <c r="BR32" s="71"/>
      <c r="BS32" s="71"/>
      <c r="BT32" s="71"/>
      <c r="BU32" s="71"/>
      <c r="BV32" s="71"/>
      <c r="BW32" s="71"/>
      <c r="BX32" s="71"/>
      <c r="BY32" s="71"/>
      <c r="BZ32" s="71"/>
      <c r="CA32" s="71"/>
      <c r="CB32" s="71"/>
      <c r="CC32" s="71"/>
      <c r="CD32" s="71"/>
      <c r="CE32" s="71"/>
      <c r="CF32" s="71"/>
      <c r="CG32" s="71"/>
      <c r="CH32" s="71"/>
      <c r="CI32" s="71"/>
      <c r="CJ32" s="71"/>
      <c r="CK32" s="71"/>
      <c r="CL32" s="71"/>
      <c r="CM32" s="71"/>
      <c r="CN32" s="71"/>
      <c r="CO32" s="71"/>
      <c r="CP32" s="71"/>
      <c r="CQ32" s="71"/>
      <c r="CR32" s="71"/>
      <c r="CS32" s="71"/>
      <c r="CT32" s="71"/>
      <c r="CU32" s="71"/>
      <c r="CV32" s="71"/>
      <c r="CW32" s="71"/>
      <c r="CX32" s="71"/>
      <c r="CY32" s="71"/>
    </row>
    <row r="33" spans="1:103">
      <c r="A33" s="61">
        <v>2.2999999999999998</v>
      </c>
      <c r="B33" s="61" t="s">
        <v>177</v>
      </c>
      <c r="C33" s="64">
        <v>45712</v>
      </c>
      <c r="D33" s="64">
        <v>45716</v>
      </c>
      <c r="E33" s="62"/>
      <c r="F33">
        <v>5</v>
      </c>
      <c r="G33" s="86">
        <f t="shared" si="0"/>
        <v>0</v>
      </c>
      <c r="H33" s="71"/>
      <c r="I33" s="71"/>
      <c r="J33" s="71"/>
      <c r="K33" s="71"/>
      <c r="L33" s="71"/>
      <c r="M33" s="71"/>
      <c r="N33" s="71"/>
      <c r="O33" s="71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  <c r="AA33" s="71"/>
      <c r="AB33" s="71"/>
      <c r="AC33" s="71"/>
      <c r="AD33" s="71"/>
      <c r="AE33" s="71"/>
      <c r="AF33" s="71"/>
      <c r="AG33" s="71"/>
      <c r="AH33" s="71"/>
      <c r="AI33" s="71"/>
      <c r="AJ33" s="71"/>
      <c r="AK33" s="71"/>
      <c r="AL33" s="71"/>
      <c r="AM33" s="71"/>
      <c r="AN33" s="71"/>
      <c r="AO33" s="71"/>
      <c r="AP33" s="71"/>
      <c r="AQ33" s="71"/>
      <c r="AR33" s="71"/>
      <c r="AS33" s="70"/>
      <c r="AT33" s="70"/>
      <c r="AU33" s="70"/>
      <c r="AV33" s="70"/>
      <c r="AW33" s="70"/>
      <c r="AX33" s="71"/>
      <c r="AY33" s="71"/>
      <c r="AZ33" s="71"/>
      <c r="BA33" s="71"/>
      <c r="BB33" s="71"/>
      <c r="BC33" s="71"/>
      <c r="BD33" s="71"/>
      <c r="BE33" s="71"/>
      <c r="BF33" s="71"/>
      <c r="BG33" s="71"/>
      <c r="BH33" s="71"/>
      <c r="BI33" s="71"/>
      <c r="BJ33" s="71"/>
      <c r="BK33" s="71"/>
      <c r="BL33" s="71"/>
      <c r="BM33" s="71"/>
      <c r="BN33" s="71"/>
      <c r="BO33" s="71"/>
      <c r="BP33" s="71"/>
      <c r="BQ33" s="71"/>
      <c r="BR33" s="71"/>
      <c r="BS33" s="71"/>
      <c r="BT33" s="71"/>
      <c r="BU33" s="71"/>
      <c r="BV33" s="71"/>
      <c r="BW33" s="71"/>
      <c r="BX33" s="71"/>
      <c r="BY33" s="71"/>
      <c r="BZ33" s="71"/>
      <c r="CA33" s="71"/>
      <c r="CB33" s="71"/>
      <c r="CC33" s="71"/>
      <c r="CD33" s="71"/>
      <c r="CE33" s="71"/>
      <c r="CF33" s="71"/>
      <c r="CG33" s="71"/>
      <c r="CH33" s="71"/>
      <c r="CI33" s="71"/>
      <c r="CJ33" s="71"/>
      <c r="CK33" s="71"/>
      <c r="CL33" s="71"/>
      <c r="CM33" s="71"/>
      <c r="CN33" s="71"/>
      <c r="CO33" s="71"/>
      <c r="CP33" s="71"/>
      <c r="CQ33" s="71"/>
      <c r="CR33" s="71"/>
      <c r="CS33" s="71"/>
      <c r="CT33" s="71"/>
      <c r="CU33" s="71"/>
      <c r="CV33" s="71"/>
      <c r="CW33" s="71"/>
      <c r="CX33" s="71"/>
      <c r="CY33" s="71"/>
    </row>
    <row r="34" spans="1:103">
      <c r="B34" s="29" t="s">
        <v>178</v>
      </c>
      <c r="C34" s="64">
        <v>45712</v>
      </c>
      <c r="D34" s="64">
        <v>45713</v>
      </c>
      <c r="E34" s="62"/>
      <c r="F34">
        <v>2</v>
      </c>
      <c r="G34" s="86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71"/>
      <c r="AJ34" s="71"/>
      <c r="AK34" s="71"/>
      <c r="AL34" s="71"/>
      <c r="AM34" s="71"/>
      <c r="AN34" s="71"/>
      <c r="AO34" s="71"/>
      <c r="AP34" s="71"/>
      <c r="AQ34" s="71"/>
      <c r="AR34" s="71"/>
      <c r="AS34" s="70"/>
      <c r="AT34" s="70"/>
      <c r="AU34" s="71"/>
      <c r="AV34" s="71"/>
      <c r="AW34" s="71"/>
      <c r="AX34" s="71"/>
      <c r="AY34" s="71"/>
      <c r="AZ34" s="71"/>
      <c r="BA34" s="71"/>
      <c r="BB34" s="71"/>
      <c r="BC34" s="71"/>
      <c r="BD34" s="71"/>
      <c r="BE34" s="71"/>
      <c r="BF34" s="71"/>
      <c r="BG34" s="71"/>
      <c r="BH34" s="71"/>
      <c r="BI34" s="71"/>
      <c r="BJ34" s="71"/>
      <c r="BK34" s="71"/>
      <c r="BL34" s="71"/>
      <c r="BM34" s="71"/>
      <c r="BN34" s="71"/>
      <c r="BO34" s="71"/>
      <c r="BP34" s="71"/>
      <c r="BQ34" s="71"/>
      <c r="BR34" s="71"/>
      <c r="BS34" s="71"/>
      <c r="BT34" s="71"/>
      <c r="BU34" s="71"/>
      <c r="BV34" s="71"/>
      <c r="BW34" s="71"/>
      <c r="BX34" s="71"/>
      <c r="BY34" s="71"/>
      <c r="BZ34" s="71"/>
      <c r="CA34" s="71"/>
      <c r="CB34" s="71"/>
      <c r="CC34" s="71"/>
      <c r="CD34" s="71"/>
      <c r="CE34" s="71"/>
      <c r="CF34" s="71"/>
      <c r="CG34" s="71"/>
      <c r="CH34" s="71"/>
      <c r="CI34" s="71"/>
      <c r="CJ34" s="71"/>
      <c r="CK34" s="71"/>
      <c r="CL34" s="71"/>
      <c r="CM34" s="71"/>
      <c r="CN34" s="71"/>
      <c r="CO34" s="71"/>
      <c r="CP34" s="71"/>
      <c r="CQ34" s="71"/>
      <c r="CR34" s="71"/>
      <c r="CS34" s="71"/>
      <c r="CT34" s="71"/>
      <c r="CU34" s="71"/>
      <c r="CV34" s="71"/>
      <c r="CW34" s="71"/>
      <c r="CX34" s="71"/>
      <c r="CY34" s="71"/>
    </row>
    <row r="35" spans="1:103">
      <c r="B35" s="29" t="s">
        <v>179</v>
      </c>
      <c r="C35" s="64">
        <v>45742</v>
      </c>
      <c r="D35" s="64">
        <v>45714</v>
      </c>
      <c r="E35" s="62"/>
      <c r="F35">
        <v>1</v>
      </c>
      <c r="G35" s="86">
        <f t="shared" si="0"/>
        <v>0</v>
      </c>
      <c r="H35" s="71"/>
      <c r="I35" s="71"/>
      <c r="J35" s="71"/>
      <c r="K35" s="71"/>
      <c r="L35" s="71"/>
      <c r="M35" s="71"/>
      <c r="N35" s="71"/>
      <c r="O35" s="71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  <c r="AA35" s="71"/>
      <c r="AB35" s="71"/>
      <c r="AC35" s="71"/>
      <c r="AD35" s="71"/>
      <c r="AE35" s="71"/>
      <c r="AF35" s="71"/>
      <c r="AG35" s="71"/>
      <c r="AH35" s="71"/>
      <c r="AI35" s="71"/>
      <c r="AJ35" s="71"/>
      <c r="AK35" s="71"/>
      <c r="AL35" s="71"/>
      <c r="AM35" s="71"/>
      <c r="AN35" s="71"/>
      <c r="AO35" s="71"/>
      <c r="AP35" s="71"/>
      <c r="AQ35" s="71"/>
      <c r="AR35" s="71"/>
      <c r="AS35" s="71"/>
      <c r="AT35" s="71"/>
      <c r="AU35" s="70"/>
      <c r="AV35" s="71"/>
      <c r="AW35" s="71"/>
      <c r="AX35" s="71"/>
      <c r="AY35" s="71"/>
      <c r="AZ35" s="71"/>
      <c r="BA35" s="71"/>
      <c r="BB35" s="71"/>
      <c r="BC35" s="71"/>
      <c r="BD35" s="71"/>
      <c r="BE35" s="71"/>
      <c r="BF35" s="71"/>
      <c r="BG35" s="71"/>
      <c r="BH35" s="71"/>
      <c r="BI35" s="71"/>
      <c r="BJ35" s="71"/>
      <c r="BK35" s="71"/>
      <c r="BL35" s="71"/>
      <c r="BM35" s="71"/>
      <c r="BN35" s="71"/>
      <c r="BO35" s="71"/>
      <c r="BP35" s="71"/>
      <c r="BQ35" s="71"/>
      <c r="BR35" s="71"/>
      <c r="BS35" s="71"/>
      <c r="BT35" s="71"/>
      <c r="BU35" s="71"/>
      <c r="BV35" s="71"/>
      <c r="BW35" s="71"/>
      <c r="BX35" s="71"/>
      <c r="BY35" s="71"/>
      <c r="BZ35" s="71"/>
      <c r="CA35" s="71"/>
      <c r="CB35" s="71"/>
      <c r="CC35" s="71"/>
      <c r="CD35" s="71"/>
      <c r="CE35" s="71"/>
      <c r="CF35" s="71"/>
      <c r="CG35" s="71"/>
      <c r="CH35" s="71"/>
      <c r="CI35" s="71"/>
      <c r="CJ35" s="71"/>
      <c r="CK35" s="71"/>
      <c r="CL35" s="71"/>
      <c r="CM35" s="71"/>
      <c r="CN35" s="71"/>
      <c r="CO35" s="71"/>
      <c r="CP35" s="71"/>
      <c r="CQ35" s="71"/>
      <c r="CR35" s="71"/>
      <c r="CS35" s="71"/>
      <c r="CT35" s="71"/>
      <c r="CU35" s="71"/>
      <c r="CV35" s="71"/>
      <c r="CW35" s="71"/>
      <c r="CX35" s="71"/>
      <c r="CY35" s="71"/>
    </row>
    <row r="36" spans="1:103">
      <c r="B36" s="29" t="s">
        <v>180</v>
      </c>
      <c r="C36" s="64">
        <v>45715</v>
      </c>
      <c r="D36" s="64">
        <v>45715</v>
      </c>
      <c r="E36" s="62"/>
      <c r="F36">
        <v>1</v>
      </c>
      <c r="G36" s="86">
        <f t="shared" si="0"/>
        <v>0</v>
      </c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  <c r="AE36" s="71"/>
      <c r="AF36" s="71"/>
      <c r="AG36" s="71"/>
      <c r="AH36" s="71"/>
      <c r="AI36" s="71"/>
      <c r="AJ36" s="71"/>
      <c r="AK36" s="71"/>
      <c r="AL36" s="71"/>
      <c r="AM36" s="71"/>
      <c r="AN36" s="71"/>
      <c r="AO36" s="71"/>
      <c r="AP36" s="71"/>
      <c r="AQ36" s="71"/>
      <c r="AR36" s="71"/>
      <c r="AS36" s="71"/>
      <c r="AT36" s="71"/>
      <c r="AU36" s="71"/>
      <c r="AV36" s="70"/>
      <c r="AW36" s="71"/>
      <c r="AX36" s="71"/>
      <c r="AY36" s="71"/>
      <c r="AZ36" s="71"/>
      <c r="BA36" s="71"/>
      <c r="BB36" s="71"/>
      <c r="BC36" s="71"/>
      <c r="BD36" s="71"/>
      <c r="BE36" s="71"/>
      <c r="BF36" s="71"/>
      <c r="BG36" s="71"/>
      <c r="BH36" s="71"/>
      <c r="BI36" s="71"/>
      <c r="BJ36" s="71"/>
      <c r="BK36" s="71"/>
      <c r="BL36" s="71"/>
      <c r="BM36" s="71"/>
      <c r="BN36" s="71"/>
      <c r="BO36" s="71"/>
      <c r="BP36" s="71"/>
      <c r="BQ36" s="71"/>
      <c r="BR36" s="71"/>
      <c r="BS36" s="71"/>
      <c r="BT36" s="71"/>
      <c r="BU36" s="71"/>
      <c r="BV36" s="71"/>
      <c r="BW36" s="71"/>
      <c r="BX36" s="71"/>
      <c r="BY36" s="71"/>
      <c r="BZ36" s="71"/>
      <c r="CA36" s="71"/>
      <c r="CB36" s="71"/>
      <c r="CC36" s="71"/>
      <c r="CD36" s="71"/>
      <c r="CE36" s="71"/>
      <c r="CF36" s="71"/>
      <c r="CG36" s="71"/>
      <c r="CH36" s="71"/>
      <c r="CI36" s="71"/>
      <c r="CJ36" s="71"/>
      <c r="CK36" s="71"/>
      <c r="CL36" s="71"/>
      <c r="CM36" s="71"/>
      <c r="CN36" s="71"/>
      <c r="CO36" s="71"/>
      <c r="CP36" s="71"/>
      <c r="CQ36" s="71"/>
      <c r="CR36" s="71"/>
      <c r="CS36" s="71"/>
      <c r="CT36" s="71"/>
      <c r="CU36" s="71"/>
      <c r="CV36" s="71"/>
      <c r="CW36" s="71"/>
      <c r="CX36" s="71"/>
      <c r="CY36" s="71"/>
    </row>
    <row r="37" spans="1:103">
      <c r="B37" s="29" t="s">
        <v>181</v>
      </c>
      <c r="C37" s="64">
        <v>45716</v>
      </c>
      <c r="D37" s="64">
        <v>45716</v>
      </c>
      <c r="E37" s="62"/>
      <c r="F37">
        <v>1</v>
      </c>
      <c r="G37" s="86">
        <f t="shared" si="0"/>
        <v>0</v>
      </c>
      <c r="H37" s="71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  <c r="AA37" s="71"/>
      <c r="AB37" s="71"/>
      <c r="AC37" s="71"/>
      <c r="AD37" s="71"/>
      <c r="AE37" s="71"/>
      <c r="AF37" s="71"/>
      <c r="AG37" s="71"/>
      <c r="AH37" s="71"/>
      <c r="AI37" s="71"/>
      <c r="AJ37" s="71"/>
      <c r="AK37" s="71"/>
      <c r="AL37" s="71"/>
      <c r="AM37" s="71"/>
      <c r="AN37" s="71"/>
      <c r="AO37" s="71"/>
      <c r="AP37" s="71"/>
      <c r="AQ37" s="71"/>
      <c r="AR37" s="71"/>
      <c r="AS37" s="71"/>
      <c r="AT37" s="71"/>
      <c r="AU37" s="71"/>
      <c r="AV37" s="71"/>
      <c r="AW37" s="70"/>
      <c r="AX37" s="71"/>
      <c r="AY37" s="71"/>
      <c r="AZ37" s="71"/>
      <c r="BA37" s="71"/>
      <c r="BB37" s="71"/>
      <c r="BC37" s="71"/>
      <c r="BD37" s="71"/>
      <c r="BE37" s="71"/>
      <c r="BF37" s="71"/>
      <c r="BG37" s="71"/>
      <c r="BH37" s="71"/>
      <c r="BI37" s="71"/>
      <c r="BJ37" s="71"/>
      <c r="BK37" s="71"/>
      <c r="BL37" s="71"/>
      <c r="BM37" s="71"/>
      <c r="BN37" s="71"/>
      <c r="BO37" s="71"/>
      <c r="BP37" s="71"/>
      <c r="BQ37" s="71"/>
      <c r="BR37" s="71"/>
      <c r="BS37" s="71"/>
      <c r="BT37" s="71"/>
      <c r="BU37" s="71"/>
      <c r="BV37" s="71"/>
      <c r="BW37" s="71"/>
      <c r="BX37" s="71"/>
      <c r="BY37" s="71"/>
      <c r="BZ37" s="71"/>
      <c r="CA37" s="71"/>
      <c r="CB37" s="71"/>
      <c r="CC37" s="71"/>
      <c r="CD37" s="71"/>
      <c r="CE37" s="71"/>
      <c r="CF37" s="71"/>
      <c r="CG37" s="71"/>
      <c r="CH37" s="71"/>
      <c r="CI37" s="71"/>
      <c r="CJ37" s="71"/>
      <c r="CK37" s="71"/>
      <c r="CL37" s="71"/>
      <c r="CM37" s="71"/>
      <c r="CN37" s="71"/>
      <c r="CO37" s="71"/>
      <c r="CP37" s="71"/>
      <c r="CQ37" s="71"/>
      <c r="CR37" s="71"/>
      <c r="CS37" s="71"/>
      <c r="CT37" s="71"/>
      <c r="CU37" s="71"/>
      <c r="CV37" s="71"/>
      <c r="CW37" s="71"/>
      <c r="CX37" s="71"/>
      <c r="CY37" s="71"/>
    </row>
    <row r="38" spans="1:103">
      <c r="B38" s="29" t="s">
        <v>182</v>
      </c>
      <c r="C38" s="64">
        <v>45716</v>
      </c>
      <c r="D38" s="64">
        <v>45716</v>
      </c>
      <c r="E38" s="62"/>
      <c r="F38">
        <v>1</v>
      </c>
      <c r="G38" s="86">
        <f t="shared" si="0"/>
        <v>0</v>
      </c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  <c r="AA38" s="71"/>
      <c r="AB38" s="71"/>
      <c r="AC38" s="71"/>
      <c r="AD38" s="71"/>
      <c r="AE38" s="71"/>
      <c r="AF38" s="71"/>
      <c r="AG38" s="71"/>
      <c r="AH38" s="71"/>
      <c r="AI38" s="71"/>
      <c r="AJ38" s="71"/>
      <c r="AK38" s="71"/>
      <c r="AL38" s="71"/>
      <c r="AM38" s="71"/>
      <c r="AN38" s="71"/>
      <c r="AO38" s="71"/>
      <c r="AP38" s="71"/>
      <c r="AQ38" s="71"/>
      <c r="AR38" s="71"/>
      <c r="AS38" s="71"/>
      <c r="AT38" s="71"/>
      <c r="AU38" s="71"/>
      <c r="AV38" s="71"/>
      <c r="AW38" s="70"/>
      <c r="AX38" s="71"/>
      <c r="AY38" s="71"/>
      <c r="AZ38" s="71"/>
      <c r="BA38" s="71"/>
      <c r="BB38" s="71"/>
      <c r="BC38" s="71"/>
      <c r="BD38" s="71"/>
      <c r="BE38" s="71"/>
      <c r="BF38" s="71"/>
      <c r="BG38" s="71"/>
      <c r="BH38" s="71"/>
      <c r="BI38" s="71"/>
      <c r="BJ38" s="71"/>
      <c r="BK38" s="71"/>
      <c r="BL38" s="71"/>
      <c r="BM38" s="71"/>
      <c r="BN38" s="71"/>
      <c r="BO38" s="71"/>
      <c r="BP38" s="71"/>
      <c r="BQ38" s="71"/>
      <c r="BR38" s="71"/>
      <c r="BS38" s="71"/>
      <c r="BT38" s="71"/>
      <c r="BU38" s="71"/>
      <c r="BV38" s="71"/>
      <c r="BW38" s="71"/>
      <c r="BX38" s="71"/>
      <c r="BY38" s="71"/>
      <c r="BZ38" s="71"/>
      <c r="CA38" s="71"/>
      <c r="CB38" s="71"/>
      <c r="CC38" s="71"/>
      <c r="CD38" s="71"/>
      <c r="CE38" s="71"/>
      <c r="CF38" s="71"/>
      <c r="CG38" s="71"/>
      <c r="CH38" s="71"/>
      <c r="CI38" s="71"/>
      <c r="CJ38" s="71"/>
      <c r="CK38" s="71"/>
      <c r="CL38" s="71"/>
      <c r="CM38" s="71"/>
      <c r="CN38" s="71"/>
      <c r="CO38" s="71"/>
      <c r="CP38" s="71"/>
      <c r="CQ38" s="71"/>
      <c r="CR38" s="71"/>
      <c r="CS38" s="71"/>
      <c r="CT38" s="71"/>
      <c r="CU38" s="71"/>
      <c r="CV38" s="71"/>
      <c r="CW38" s="71"/>
      <c r="CX38" s="71"/>
      <c r="CY38" s="71"/>
    </row>
    <row r="39" spans="1:103">
      <c r="A39" s="58">
        <v>3</v>
      </c>
      <c r="B39" s="58" t="s">
        <v>40</v>
      </c>
      <c r="C39" s="64">
        <v>45717</v>
      </c>
      <c r="D39" s="64">
        <v>45738</v>
      </c>
      <c r="E39" s="62"/>
      <c r="F39">
        <v>22</v>
      </c>
      <c r="G39" s="86">
        <f t="shared" si="0"/>
        <v>0</v>
      </c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1"/>
      <c r="Z39" s="71"/>
      <c r="AA39" s="71"/>
      <c r="AB39" s="71"/>
      <c r="AC39" s="71"/>
      <c r="AD39" s="71"/>
      <c r="AE39" s="71"/>
      <c r="AF39" s="71"/>
      <c r="AG39" s="71"/>
      <c r="AH39" s="71"/>
      <c r="AI39" s="71"/>
      <c r="AJ39" s="71"/>
      <c r="AK39" s="71"/>
      <c r="AL39" s="71"/>
      <c r="AM39" s="71"/>
      <c r="AN39" s="71"/>
      <c r="AO39" s="71"/>
      <c r="AP39" s="71"/>
      <c r="AQ39" s="71"/>
      <c r="AR39" s="71"/>
      <c r="AS39" s="71"/>
      <c r="AT39" s="71"/>
      <c r="AU39" s="71"/>
      <c r="AV39" s="71"/>
      <c r="AW39" s="71"/>
      <c r="AX39" s="70"/>
      <c r="AY39" s="70"/>
      <c r="AZ39" s="70"/>
      <c r="BA39" s="70"/>
      <c r="BB39" s="70"/>
      <c r="BC39" s="70"/>
      <c r="BD39" s="70"/>
      <c r="BE39" s="70"/>
      <c r="BF39" s="70"/>
      <c r="BG39" s="70"/>
      <c r="BH39" s="70"/>
      <c r="BI39" s="70"/>
      <c r="BJ39" s="70"/>
      <c r="BK39" s="70"/>
      <c r="BL39" s="70"/>
      <c r="BM39" s="70"/>
      <c r="BN39" s="70"/>
      <c r="BO39" s="70"/>
      <c r="BP39" s="70"/>
      <c r="BQ39" s="70"/>
      <c r="BR39" s="70"/>
      <c r="BS39" s="70"/>
      <c r="BT39" s="71"/>
      <c r="BU39" s="71"/>
      <c r="BV39" s="71"/>
      <c r="BW39" s="71"/>
      <c r="BX39" s="71"/>
      <c r="BY39" s="71"/>
      <c r="BZ39" s="71"/>
      <c r="CA39" s="71"/>
      <c r="CB39" s="71"/>
      <c r="CC39" s="71"/>
      <c r="CD39" s="71"/>
      <c r="CE39" s="71"/>
      <c r="CF39" s="71"/>
      <c r="CG39" s="71"/>
      <c r="CH39" s="71"/>
      <c r="CI39" s="71"/>
      <c r="CJ39" s="71"/>
      <c r="CK39" s="71"/>
      <c r="CL39" s="71"/>
      <c r="CM39" s="71"/>
      <c r="CN39" s="71"/>
      <c r="CO39" s="71"/>
      <c r="CP39" s="71"/>
      <c r="CQ39" s="71"/>
      <c r="CR39" s="71"/>
      <c r="CS39" s="71"/>
      <c r="CT39" s="71"/>
      <c r="CU39" s="71"/>
      <c r="CV39" s="71"/>
      <c r="CW39" s="71"/>
      <c r="CX39" s="71"/>
      <c r="CY39" s="71"/>
    </row>
    <row r="40" spans="1:103">
      <c r="A40" s="61">
        <v>3.1</v>
      </c>
      <c r="B40" s="61" t="s">
        <v>183</v>
      </c>
      <c r="C40" s="64">
        <v>45717</v>
      </c>
      <c r="D40" s="64">
        <v>45721</v>
      </c>
      <c r="E40" s="62"/>
      <c r="F40">
        <v>5</v>
      </c>
      <c r="G40" s="86">
        <f t="shared" si="0"/>
        <v>0</v>
      </c>
      <c r="H40" s="71"/>
      <c r="I40" s="71"/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71"/>
      <c r="Z40" s="71"/>
      <c r="AA40" s="71"/>
      <c r="AB40" s="71"/>
      <c r="AC40" s="71"/>
      <c r="AD40" s="71"/>
      <c r="AE40" s="71"/>
      <c r="AF40" s="71"/>
      <c r="AG40" s="71"/>
      <c r="AH40" s="71"/>
      <c r="AI40" s="71"/>
      <c r="AJ40" s="71"/>
      <c r="AK40" s="71"/>
      <c r="AL40" s="71"/>
      <c r="AM40" s="71"/>
      <c r="AN40" s="71"/>
      <c r="AO40" s="71"/>
      <c r="AP40" s="71"/>
      <c r="AQ40" s="71"/>
      <c r="AR40" s="71"/>
      <c r="AS40" s="71"/>
      <c r="AT40" s="71"/>
      <c r="AU40" s="71"/>
      <c r="AV40" s="71"/>
      <c r="AW40" s="71"/>
      <c r="AX40" s="70"/>
      <c r="AY40" s="70"/>
      <c r="AZ40" s="70"/>
      <c r="BA40" s="70"/>
      <c r="BB40" s="70"/>
      <c r="BC40" s="71"/>
      <c r="BD40" s="71"/>
      <c r="BE40" s="71"/>
      <c r="BF40" s="71"/>
      <c r="BG40" s="71"/>
      <c r="BH40" s="71"/>
      <c r="BI40" s="71"/>
      <c r="BJ40" s="71"/>
      <c r="BK40" s="71"/>
      <c r="BL40" s="71"/>
      <c r="BM40" s="71"/>
      <c r="BN40" s="71"/>
      <c r="BO40" s="71"/>
      <c r="BP40" s="71"/>
      <c r="BQ40" s="71"/>
      <c r="BR40" s="71"/>
      <c r="BS40" s="71"/>
      <c r="BT40" s="71"/>
      <c r="BU40" s="71"/>
      <c r="BV40" s="71"/>
      <c r="BW40" s="71"/>
      <c r="BX40" s="71"/>
      <c r="BY40" s="71"/>
      <c r="BZ40" s="71"/>
      <c r="CA40" s="71"/>
      <c r="CB40" s="71"/>
      <c r="CC40" s="71"/>
      <c r="CD40" s="71"/>
      <c r="CE40" s="71"/>
      <c r="CF40" s="71"/>
      <c r="CG40" s="71"/>
      <c r="CH40" s="71"/>
      <c r="CI40" s="71"/>
      <c r="CJ40" s="71"/>
      <c r="CK40" s="71"/>
      <c r="CL40" s="71"/>
      <c r="CM40" s="71"/>
      <c r="CN40" s="71"/>
      <c r="CO40" s="71"/>
      <c r="CP40" s="71"/>
      <c r="CQ40" s="71"/>
      <c r="CR40" s="71"/>
      <c r="CS40" s="71"/>
      <c r="CT40" s="71"/>
      <c r="CU40" s="71"/>
      <c r="CV40" s="71"/>
      <c r="CW40" s="71"/>
      <c r="CX40" s="71"/>
      <c r="CY40" s="71"/>
    </row>
    <row r="41" spans="1:103">
      <c r="B41" s="29" t="s">
        <v>184</v>
      </c>
      <c r="C41" s="64">
        <v>45717</v>
      </c>
      <c r="D41" s="64">
        <v>45718</v>
      </c>
      <c r="E41" s="62"/>
      <c r="F41">
        <v>2</v>
      </c>
      <c r="G41" s="86">
        <f t="shared" si="0"/>
        <v>0</v>
      </c>
      <c r="H41" s="71"/>
      <c r="I41" s="71"/>
      <c r="J41" s="71"/>
      <c r="K41" s="71"/>
      <c r="L41" s="71"/>
      <c r="M41" s="71"/>
      <c r="N41" s="71"/>
      <c r="O41" s="71"/>
      <c r="P41" s="71"/>
      <c r="Q41" s="71"/>
      <c r="R41" s="71"/>
      <c r="S41" s="71"/>
      <c r="T41" s="71"/>
      <c r="U41" s="71"/>
      <c r="V41" s="71"/>
      <c r="W41" s="71"/>
      <c r="X41" s="71"/>
      <c r="Y41" s="71"/>
      <c r="Z41" s="71"/>
      <c r="AA41" s="71"/>
      <c r="AB41" s="71"/>
      <c r="AC41" s="71"/>
      <c r="AD41" s="71"/>
      <c r="AE41" s="71"/>
      <c r="AF41" s="71"/>
      <c r="AG41" s="71"/>
      <c r="AH41" s="71"/>
      <c r="AI41" s="71"/>
      <c r="AJ41" s="71"/>
      <c r="AK41" s="71"/>
      <c r="AL41" s="71"/>
      <c r="AM41" s="71"/>
      <c r="AN41" s="71"/>
      <c r="AO41" s="71"/>
      <c r="AP41" s="71"/>
      <c r="AQ41" s="71"/>
      <c r="AR41" s="71"/>
      <c r="AS41" s="71"/>
      <c r="AT41" s="71"/>
      <c r="AU41" s="71"/>
      <c r="AV41" s="71"/>
      <c r="AW41" s="71"/>
      <c r="AX41" s="70"/>
      <c r="AY41" s="70"/>
      <c r="AZ41" s="71"/>
      <c r="BA41" s="71"/>
      <c r="BB41" s="71"/>
      <c r="BC41" s="71"/>
      <c r="BD41" s="71"/>
      <c r="BE41" s="71"/>
      <c r="BF41" s="71"/>
      <c r="BG41" s="71"/>
      <c r="BH41" s="71"/>
      <c r="BI41" s="71"/>
      <c r="BJ41" s="71"/>
      <c r="BK41" s="71"/>
      <c r="BL41" s="71"/>
      <c r="BM41" s="71"/>
      <c r="BN41" s="71"/>
      <c r="BO41" s="71"/>
      <c r="BP41" s="71"/>
      <c r="BQ41" s="71"/>
      <c r="BR41" s="71"/>
      <c r="BS41" s="71"/>
      <c r="BT41" s="71"/>
      <c r="BU41" s="71"/>
      <c r="BV41" s="71"/>
      <c r="BW41" s="71"/>
      <c r="BX41" s="71"/>
      <c r="BY41" s="71"/>
      <c r="BZ41" s="71"/>
      <c r="CA41" s="71"/>
      <c r="CB41" s="71"/>
      <c r="CC41" s="71"/>
      <c r="CD41" s="71"/>
      <c r="CE41" s="71"/>
      <c r="CF41" s="71"/>
      <c r="CG41" s="71"/>
      <c r="CH41" s="71"/>
      <c r="CI41" s="71"/>
      <c r="CJ41" s="71"/>
      <c r="CK41" s="71"/>
      <c r="CL41" s="71"/>
      <c r="CM41" s="71"/>
      <c r="CN41" s="71"/>
      <c r="CO41" s="71"/>
      <c r="CP41" s="71"/>
      <c r="CQ41" s="71"/>
      <c r="CR41" s="71"/>
      <c r="CS41" s="71"/>
      <c r="CT41" s="71"/>
      <c r="CU41" s="71"/>
      <c r="CV41" s="71"/>
      <c r="CW41" s="71"/>
      <c r="CX41" s="71"/>
      <c r="CY41" s="71"/>
    </row>
    <row r="42" spans="1:103">
      <c r="B42" s="29" t="s">
        <v>185</v>
      </c>
      <c r="C42" s="64">
        <v>45719</v>
      </c>
      <c r="D42" s="64">
        <v>45720</v>
      </c>
      <c r="E42" s="62"/>
      <c r="F42">
        <v>2</v>
      </c>
      <c r="G42" s="86">
        <f t="shared" si="0"/>
        <v>0</v>
      </c>
      <c r="H42" s="71"/>
      <c r="I42" s="71"/>
      <c r="J42" s="71"/>
      <c r="K42" s="71"/>
      <c r="L42" s="71"/>
      <c r="M42" s="71"/>
      <c r="N42" s="71"/>
      <c r="O42" s="71"/>
      <c r="P42" s="71"/>
      <c r="Q42" s="71"/>
      <c r="R42" s="71"/>
      <c r="S42" s="71"/>
      <c r="T42" s="71"/>
      <c r="U42" s="71"/>
      <c r="V42" s="71"/>
      <c r="W42" s="71"/>
      <c r="X42" s="71"/>
      <c r="Y42" s="71"/>
      <c r="Z42" s="71"/>
      <c r="AA42" s="71"/>
      <c r="AB42" s="71"/>
      <c r="AC42" s="71"/>
      <c r="AD42" s="71"/>
      <c r="AE42" s="71"/>
      <c r="AF42" s="71"/>
      <c r="AG42" s="71"/>
      <c r="AH42" s="71"/>
      <c r="AI42" s="71"/>
      <c r="AJ42" s="71"/>
      <c r="AK42" s="71"/>
      <c r="AL42" s="71"/>
      <c r="AM42" s="71"/>
      <c r="AN42" s="71"/>
      <c r="AO42" s="71"/>
      <c r="AP42" s="71"/>
      <c r="AQ42" s="71"/>
      <c r="AR42" s="71"/>
      <c r="AS42" s="71"/>
      <c r="AT42" s="71"/>
      <c r="AU42" s="71"/>
      <c r="AV42" s="71"/>
      <c r="AW42" s="71"/>
      <c r="AX42" s="71"/>
      <c r="AY42" s="71"/>
      <c r="AZ42" s="70"/>
      <c r="BA42" s="70"/>
      <c r="BB42" s="71"/>
      <c r="BC42" s="71"/>
      <c r="BD42" s="71"/>
      <c r="BE42" s="71"/>
      <c r="BF42" s="71"/>
      <c r="BG42" s="71"/>
      <c r="BH42" s="71"/>
      <c r="BI42" s="71"/>
      <c r="BJ42" s="71"/>
      <c r="BK42" s="71"/>
      <c r="BL42" s="71"/>
      <c r="BM42" s="71"/>
      <c r="BN42" s="71"/>
      <c r="BO42" s="71"/>
      <c r="BP42" s="71"/>
      <c r="BQ42" s="71"/>
      <c r="BR42" s="71"/>
      <c r="BS42" s="71"/>
      <c r="BT42" s="71"/>
      <c r="BU42" s="71"/>
      <c r="BV42" s="71"/>
      <c r="BW42" s="71"/>
      <c r="BX42" s="71"/>
      <c r="BY42" s="71"/>
      <c r="BZ42" s="71"/>
      <c r="CA42" s="71"/>
      <c r="CB42" s="71"/>
      <c r="CC42" s="71"/>
      <c r="CD42" s="71"/>
      <c r="CE42" s="71"/>
      <c r="CF42" s="71"/>
      <c r="CG42" s="71"/>
      <c r="CH42" s="71"/>
      <c r="CI42" s="71"/>
      <c r="CJ42" s="71"/>
      <c r="CK42" s="71"/>
      <c r="CL42" s="71"/>
      <c r="CM42" s="71"/>
      <c r="CN42" s="71"/>
      <c r="CO42" s="71"/>
      <c r="CP42" s="71"/>
      <c r="CQ42" s="71"/>
      <c r="CR42" s="71"/>
      <c r="CS42" s="71"/>
      <c r="CT42" s="71"/>
      <c r="CU42" s="71"/>
      <c r="CV42" s="71"/>
      <c r="CW42" s="71"/>
      <c r="CX42" s="71"/>
      <c r="CY42" s="71"/>
    </row>
    <row r="43" spans="1:103">
      <c r="B43" s="29" t="s">
        <v>186</v>
      </c>
      <c r="C43" s="64">
        <v>45721</v>
      </c>
      <c r="D43" s="64">
        <v>45721</v>
      </c>
      <c r="E43" s="62"/>
      <c r="F43">
        <v>1</v>
      </c>
      <c r="G43" s="86">
        <f t="shared" si="0"/>
        <v>0</v>
      </c>
      <c r="H43" s="71"/>
      <c r="I43" s="71"/>
      <c r="J43" s="71"/>
      <c r="K43" s="71"/>
      <c r="L43" s="71"/>
      <c r="M43" s="71"/>
      <c r="N43" s="71"/>
      <c r="O43" s="71"/>
      <c r="P43" s="71"/>
      <c r="Q43" s="71"/>
      <c r="R43" s="71"/>
      <c r="S43" s="71"/>
      <c r="T43" s="71"/>
      <c r="U43" s="71"/>
      <c r="V43" s="71"/>
      <c r="W43" s="71"/>
      <c r="X43" s="71"/>
      <c r="Y43" s="71"/>
      <c r="Z43" s="71"/>
      <c r="AA43" s="71"/>
      <c r="AB43" s="71"/>
      <c r="AC43" s="71"/>
      <c r="AD43" s="71"/>
      <c r="AE43" s="71"/>
      <c r="AF43" s="71"/>
      <c r="AG43" s="71"/>
      <c r="AH43" s="71"/>
      <c r="AI43" s="71"/>
      <c r="AJ43" s="71"/>
      <c r="AK43" s="71"/>
      <c r="AL43" s="71"/>
      <c r="AM43" s="71"/>
      <c r="AN43" s="71"/>
      <c r="AO43" s="71"/>
      <c r="AP43" s="71"/>
      <c r="AQ43" s="71"/>
      <c r="AR43" s="71"/>
      <c r="AS43" s="71"/>
      <c r="AT43" s="71"/>
      <c r="AU43" s="71"/>
      <c r="AV43" s="71"/>
      <c r="AW43" s="71"/>
      <c r="AX43" s="71"/>
      <c r="AY43" s="71"/>
      <c r="AZ43" s="71"/>
      <c r="BA43" s="71"/>
      <c r="BB43" s="70"/>
      <c r="BC43" s="71"/>
      <c r="BD43" s="71"/>
      <c r="BE43" s="71"/>
      <c r="BF43" s="71"/>
      <c r="BG43" s="71"/>
      <c r="BH43" s="71"/>
      <c r="BI43" s="71"/>
      <c r="BJ43" s="71"/>
      <c r="BK43" s="71"/>
      <c r="BL43" s="71"/>
      <c r="BM43" s="71"/>
      <c r="BN43" s="71"/>
      <c r="BO43" s="71"/>
      <c r="BP43" s="71"/>
      <c r="BQ43" s="71"/>
      <c r="BR43" s="71"/>
      <c r="BS43" s="71"/>
      <c r="BT43" s="71"/>
      <c r="BU43" s="71"/>
      <c r="BV43" s="71"/>
      <c r="BW43" s="71"/>
      <c r="BX43" s="71"/>
      <c r="BY43" s="71"/>
      <c r="BZ43" s="71"/>
      <c r="CA43" s="71"/>
      <c r="CB43" s="71"/>
      <c r="CC43" s="71"/>
      <c r="CD43" s="71"/>
      <c r="CE43" s="71"/>
      <c r="CF43" s="71"/>
      <c r="CG43" s="71"/>
      <c r="CH43" s="71"/>
      <c r="CI43" s="71"/>
      <c r="CJ43" s="71"/>
      <c r="CK43" s="71"/>
      <c r="CL43" s="71"/>
      <c r="CM43" s="71"/>
      <c r="CN43" s="71"/>
      <c r="CO43" s="71"/>
      <c r="CP43" s="71"/>
      <c r="CQ43" s="71"/>
      <c r="CR43" s="71"/>
      <c r="CS43" s="71"/>
      <c r="CT43" s="71"/>
      <c r="CU43" s="71"/>
      <c r="CV43" s="71"/>
      <c r="CW43" s="71"/>
      <c r="CX43" s="71"/>
      <c r="CY43" s="71"/>
    </row>
    <row r="44" spans="1:103">
      <c r="A44" s="61">
        <v>3.2</v>
      </c>
      <c r="B44" s="61" t="s">
        <v>187</v>
      </c>
      <c r="C44" s="64">
        <v>45722</v>
      </c>
      <c r="D44" s="64">
        <v>45725</v>
      </c>
      <c r="E44" s="62"/>
      <c r="F44">
        <v>4</v>
      </c>
      <c r="G44" s="86">
        <f t="shared" si="0"/>
        <v>0</v>
      </c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71"/>
      <c r="S44" s="71"/>
      <c r="T44" s="71"/>
      <c r="U44" s="71"/>
      <c r="V44" s="71"/>
      <c r="W44" s="71"/>
      <c r="X44" s="71"/>
      <c r="Y44" s="71"/>
      <c r="Z44" s="71"/>
      <c r="AA44" s="71"/>
      <c r="AB44" s="71"/>
      <c r="AC44" s="71"/>
      <c r="AD44" s="71"/>
      <c r="AE44" s="71"/>
      <c r="AF44" s="71"/>
      <c r="AG44" s="71"/>
      <c r="AH44" s="71"/>
      <c r="AI44" s="71"/>
      <c r="AJ44" s="71"/>
      <c r="AK44" s="71"/>
      <c r="AL44" s="71"/>
      <c r="AM44" s="71"/>
      <c r="AN44" s="71"/>
      <c r="AO44" s="71"/>
      <c r="AP44" s="71"/>
      <c r="AQ44" s="71"/>
      <c r="AR44" s="71"/>
      <c r="AS44" s="71"/>
      <c r="AT44" s="71"/>
      <c r="AU44" s="71"/>
      <c r="AV44" s="71"/>
      <c r="AW44" s="71"/>
      <c r="AX44" s="71"/>
      <c r="AY44" s="71"/>
      <c r="AZ44" s="71"/>
      <c r="BA44" s="71"/>
      <c r="BB44" s="71"/>
      <c r="BC44" s="70"/>
      <c r="BD44" s="70"/>
      <c r="BE44" s="70"/>
      <c r="BF44" s="70"/>
      <c r="BG44" s="71"/>
      <c r="BH44" s="71"/>
      <c r="BI44" s="71"/>
      <c r="BJ44" s="71"/>
      <c r="BK44" s="71"/>
      <c r="BL44" s="71"/>
      <c r="BM44" s="71"/>
      <c r="BN44" s="71"/>
      <c r="BO44" s="71"/>
      <c r="BP44" s="71"/>
      <c r="BQ44" s="71"/>
      <c r="BR44" s="71"/>
      <c r="BS44" s="71"/>
      <c r="BT44" s="71"/>
      <c r="BU44" s="71"/>
      <c r="BV44" s="71"/>
      <c r="BW44" s="71"/>
      <c r="BX44" s="71"/>
      <c r="BY44" s="71"/>
      <c r="BZ44" s="71"/>
      <c r="CA44" s="71"/>
      <c r="CB44" s="71"/>
      <c r="CC44" s="71"/>
      <c r="CD44" s="71"/>
      <c r="CE44" s="71"/>
      <c r="CF44" s="71"/>
      <c r="CG44" s="71"/>
      <c r="CH44" s="71"/>
      <c r="CI44" s="71"/>
      <c r="CJ44" s="71"/>
      <c r="CK44" s="71"/>
      <c r="CL44" s="71"/>
      <c r="CM44" s="71"/>
      <c r="CN44" s="71"/>
      <c r="CO44" s="71"/>
      <c r="CP44" s="71"/>
      <c r="CQ44" s="71"/>
      <c r="CR44" s="71"/>
      <c r="CS44" s="71"/>
      <c r="CT44" s="71"/>
      <c r="CU44" s="71"/>
      <c r="CV44" s="71"/>
      <c r="CW44" s="71"/>
      <c r="CX44" s="71"/>
      <c r="CY44" s="71"/>
    </row>
    <row r="45" spans="1:103">
      <c r="B45" s="29" t="s">
        <v>188</v>
      </c>
      <c r="C45" s="64">
        <v>45722</v>
      </c>
      <c r="D45" s="64">
        <v>45722</v>
      </c>
      <c r="E45" s="62"/>
      <c r="F45">
        <v>1</v>
      </c>
      <c r="G45" s="86">
        <f t="shared" si="0"/>
        <v>0</v>
      </c>
      <c r="H45" s="71"/>
      <c r="I45" s="71"/>
      <c r="J45" s="71"/>
      <c r="K45" s="71"/>
      <c r="L45" s="71"/>
      <c r="M45" s="71"/>
      <c r="N45" s="71"/>
      <c r="O45" s="71"/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  <c r="AF45" s="71"/>
      <c r="AG45" s="71"/>
      <c r="AH45" s="71"/>
      <c r="AI45" s="71"/>
      <c r="AJ45" s="71"/>
      <c r="AK45" s="71"/>
      <c r="AL45" s="71"/>
      <c r="AM45" s="71"/>
      <c r="AN45" s="71"/>
      <c r="AO45" s="71"/>
      <c r="AP45" s="71"/>
      <c r="AQ45" s="71"/>
      <c r="AR45" s="71"/>
      <c r="AS45" s="71"/>
      <c r="AT45" s="71"/>
      <c r="AU45" s="71"/>
      <c r="AV45" s="71"/>
      <c r="AW45" s="71"/>
      <c r="AX45" s="71"/>
      <c r="AY45" s="71"/>
      <c r="AZ45" s="71"/>
      <c r="BA45" s="71"/>
      <c r="BB45" s="71"/>
      <c r="BC45" s="70"/>
      <c r="BD45" s="71"/>
      <c r="BE45" s="71"/>
      <c r="BF45" s="71"/>
      <c r="BG45" s="71"/>
      <c r="BH45" s="71"/>
      <c r="BI45" s="71"/>
      <c r="BJ45" s="71"/>
      <c r="BK45" s="71"/>
      <c r="BL45" s="71"/>
      <c r="BM45" s="71"/>
      <c r="BN45" s="71"/>
      <c r="BO45" s="71"/>
      <c r="BP45" s="71"/>
      <c r="BQ45" s="71"/>
      <c r="BR45" s="71"/>
      <c r="BS45" s="71"/>
      <c r="BT45" s="71"/>
      <c r="BU45" s="71"/>
      <c r="BV45" s="71"/>
      <c r="BW45" s="71"/>
      <c r="BX45" s="71"/>
      <c r="BY45" s="71"/>
      <c r="BZ45" s="71"/>
      <c r="CA45" s="71"/>
      <c r="CB45" s="71"/>
      <c r="CC45" s="71"/>
      <c r="CD45" s="71"/>
      <c r="CE45" s="71"/>
      <c r="CF45" s="71"/>
      <c r="CG45" s="71"/>
      <c r="CH45" s="71"/>
      <c r="CI45" s="71"/>
      <c r="CJ45" s="71"/>
      <c r="CK45" s="71"/>
      <c r="CL45" s="71"/>
      <c r="CM45" s="71"/>
      <c r="CN45" s="71"/>
      <c r="CO45" s="71"/>
      <c r="CP45" s="71"/>
      <c r="CQ45" s="71"/>
      <c r="CR45" s="71"/>
      <c r="CS45" s="71"/>
      <c r="CT45" s="71"/>
      <c r="CU45" s="71"/>
      <c r="CV45" s="71"/>
      <c r="CW45" s="71"/>
      <c r="CX45" s="71"/>
      <c r="CY45" s="71"/>
    </row>
    <row r="46" spans="1:103">
      <c r="B46" s="29" t="s">
        <v>189</v>
      </c>
      <c r="C46" s="64">
        <v>45723</v>
      </c>
      <c r="D46" s="64">
        <v>45723</v>
      </c>
      <c r="E46" s="62"/>
      <c r="F46">
        <v>1</v>
      </c>
      <c r="G46" s="90">
        <f t="shared" si="0"/>
        <v>0</v>
      </c>
      <c r="H46" s="71"/>
      <c r="I46" s="71"/>
      <c r="J46" s="71"/>
      <c r="K46" s="71"/>
      <c r="L46" s="71"/>
      <c r="M46" s="71"/>
      <c r="N46" s="71"/>
      <c r="O46" s="71"/>
      <c r="P46" s="71"/>
      <c r="Q46" s="71"/>
      <c r="R46" s="71"/>
      <c r="S46" s="71"/>
      <c r="T46" s="71"/>
      <c r="U46" s="71"/>
      <c r="V46" s="71"/>
      <c r="W46" s="71"/>
      <c r="X46" s="71"/>
      <c r="Y46" s="71"/>
      <c r="Z46" s="71"/>
      <c r="AA46" s="71"/>
      <c r="AB46" s="71"/>
      <c r="AC46" s="71"/>
      <c r="AD46" s="71"/>
      <c r="AE46" s="71"/>
      <c r="AF46" s="71"/>
      <c r="AG46" s="71"/>
      <c r="AH46" s="71"/>
      <c r="AI46" s="71"/>
      <c r="AJ46" s="71"/>
      <c r="AK46" s="71"/>
      <c r="AL46" s="71"/>
      <c r="AM46" s="71"/>
      <c r="AN46" s="71"/>
      <c r="AO46" s="71"/>
      <c r="AP46" s="71"/>
      <c r="AQ46" s="71"/>
      <c r="AR46" s="71"/>
      <c r="AS46" s="71"/>
      <c r="AT46" s="71"/>
      <c r="AU46" s="71"/>
      <c r="AV46" s="71"/>
      <c r="AW46" s="71"/>
      <c r="AX46" s="71"/>
      <c r="AY46" s="71"/>
      <c r="AZ46" s="71"/>
      <c r="BA46" s="71"/>
      <c r="BB46" s="71"/>
      <c r="BC46" s="71"/>
      <c r="BD46" s="70"/>
      <c r="BE46" s="71"/>
      <c r="BF46" s="71"/>
      <c r="BG46" s="71"/>
      <c r="BH46" s="71"/>
      <c r="BI46" s="71"/>
      <c r="BJ46" s="71"/>
      <c r="BK46" s="71"/>
      <c r="BL46" s="71"/>
      <c r="BM46" s="71"/>
      <c r="BN46" s="71"/>
      <c r="BO46" s="71"/>
      <c r="BP46" s="71"/>
      <c r="BQ46" s="71"/>
      <c r="BR46" s="71"/>
      <c r="BS46" s="71"/>
      <c r="BT46" s="71"/>
      <c r="BU46" s="71"/>
      <c r="BV46" s="71"/>
      <c r="BW46" s="71"/>
      <c r="BX46" s="71"/>
      <c r="BY46" s="71"/>
      <c r="BZ46" s="71"/>
      <c r="CA46" s="71"/>
      <c r="CB46" s="71"/>
      <c r="CC46" s="71"/>
      <c r="CD46" s="71"/>
      <c r="CE46" s="71"/>
      <c r="CF46" s="71"/>
      <c r="CG46" s="71"/>
      <c r="CH46" s="71"/>
      <c r="CI46" s="71"/>
      <c r="CJ46" s="71"/>
      <c r="CK46" s="71"/>
      <c r="CL46" s="71"/>
      <c r="CM46" s="71"/>
      <c r="CN46" s="71"/>
      <c r="CO46" s="71"/>
      <c r="CP46" s="71"/>
      <c r="CQ46" s="71"/>
      <c r="CR46" s="71"/>
      <c r="CS46" s="71"/>
      <c r="CT46" s="71"/>
      <c r="CU46" s="71"/>
      <c r="CV46" s="71"/>
      <c r="CW46" s="71"/>
      <c r="CX46" s="71"/>
      <c r="CY46" s="71"/>
    </row>
    <row r="47" spans="1:103">
      <c r="B47" s="29" t="s">
        <v>190</v>
      </c>
      <c r="C47" s="64">
        <v>45724</v>
      </c>
      <c r="D47" s="64">
        <v>45725</v>
      </c>
      <c r="E47" s="62"/>
      <c r="F47">
        <v>2</v>
      </c>
      <c r="G47" s="90">
        <f t="shared" si="0"/>
        <v>0</v>
      </c>
      <c r="H47" s="71"/>
      <c r="I47" s="71"/>
      <c r="J47" s="71"/>
      <c r="K47" s="71"/>
      <c r="L47" s="71"/>
      <c r="M47" s="71"/>
      <c r="N47" s="71"/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  <c r="AA47" s="71"/>
      <c r="AB47" s="71"/>
      <c r="AC47" s="71"/>
      <c r="AD47" s="71"/>
      <c r="AE47" s="71"/>
      <c r="AF47" s="71"/>
      <c r="AG47" s="71"/>
      <c r="AH47" s="71"/>
      <c r="AI47" s="71"/>
      <c r="AJ47" s="71"/>
      <c r="AK47" s="71"/>
      <c r="AL47" s="71"/>
      <c r="AM47" s="71"/>
      <c r="AN47" s="71"/>
      <c r="AO47" s="71"/>
      <c r="AP47" s="71"/>
      <c r="AQ47" s="71"/>
      <c r="AR47" s="71"/>
      <c r="AS47" s="71"/>
      <c r="AT47" s="71"/>
      <c r="AU47" s="71"/>
      <c r="AV47" s="71"/>
      <c r="AW47" s="71"/>
      <c r="AX47" s="71"/>
      <c r="AY47" s="71"/>
      <c r="AZ47" s="71"/>
      <c r="BA47" s="71"/>
      <c r="BB47" s="71"/>
      <c r="BC47" s="71"/>
      <c r="BD47" s="70"/>
      <c r="BE47" s="70"/>
      <c r="BF47" s="70"/>
      <c r="BG47" s="71"/>
      <c r="BH47" s="71"/>
      <c r="BI47" s="71"/>
      <c r="BJ47" s="71"/>
      <c r="BK47" s="71"/>
      <c r="BL47" s="71"/>
      <c r="BM47" s="71"/>
      <c r="BN47" s="71"/>
      <c r="BO47" s="71"/>
      <c r="BP47" s="71"/>
      <c r="BQ47" s="71"/>
      <c r="BR47" s="71"/>
      <c r="BS47" s="71"/>
      <c r="BT47" s="71"/>
      <c r="BU47" s="71"/>
      <c r="BV47" s="71"/>
      <c r="BW47" s="71"/>
      <c r="BX47" s="71"/>
      <c r="BY47" s="71"/>
      <c r="BZ47" s="71"/>
      <c r="CA47" s="71"/>
      <c r="CB47" s="71"/>
      <c r="CC47" s="71"/>
      <c r="CD47" s="71"/>
      <c r="CE47" s="71"/>
      <c r="CF47" s="71"/>
      <c r="CG47" s="71"/>
      <c r="CH47" s="71"/>
      <c r="CI47" s="71"/>
      <c r="CJ47" s="71"/>
      <c r="CK47" s="71"/>
      <c r="CL47" s="71"/>
      <c r="CM47" s="71"/>
      <c r="CN47" s="71"/>
      <c r="CO47" s="71"/>
      <c r="CP47" s="71"/>
      <c r="CQ47" s="71"/>
      <c r="CR47" s="71"/>
      <c r="CS47" s="71"/>
      <c r="CT47" s="71"/>
      <c r="CU47" s="71"/>
      <c r="CV47" s="71"/>
      <c r="CW47" s="71"/>
      <c r="CX47" s="71"/>
      <c r="CY47" s="71"/>
    </row>
    <row r="48" spans="1:103">
      <c r="A48" s="61">
        <v>3.3</v>
      </c>
      <c r="B48" s="61" t="s">
        <v>191</v>
      </c>
      <c r="C48" s="64">
        <v>45726</v>
      </c>
      <c r="D48" s="64">
        <v>45738</v>
      </c>
      <c r="E48" s="62"/>
      <c r="F48">
        <v>12</v>
      </c>
      <c r="G48" s="86">
        <f t="shared" si="0"/>
        <v>0</v>
      </c>
      <c r="H48" s="71"/>
      <c r="I48" s="71"/>
      <c r="J48" s="71"/>
      <c r="K48" s="71"/>
      <c r="L48" s="71"/>
      <c r="M48" s="71"/>
      <c r="N48" s="71"/>
      <c r="O48" s="71"/>
      <c r="P48" s="71"/>
      <c r="Q48" s="71"/>
      <c r="R48" s="71"/>
      <c r="S48" s="71"/>
      <c r="T48" s="71"/>
      <c r="U48" s="71"/>
      <c r="V48" s="71"/>
      <c r="W48" s="71"/>
      <c r="X48" s="71"/>
      <c r="Y48" s="71"/>
      <c r="Z48" s="71"/>
      <c r="AA48" s="71"/>
      <c r="AB48" s="71"/>
      <c r="AC48" s="71"/>
      <c r="AD48" s="71"/>
      <c r="AE48" s="71"/>
      <c r="AF48" s="71"/>
      <c r="AG48" s="71"/>
      <c r="AH48" s="71"/>
      <c r="AI48" s="71"/>
      <c r="AJ48" s="71"/>
      <c r="AK48" s="71"/>
      <c r="AL48" s="71"/>
      <c r="AM48" s="71"/>
      <c r="AN48" s="71"/>
      <c r="AO48" s="71"/>
      <c r="AP48" s="71"/>
      <c r="AQ48" s="71"/>
      <c r="AR48" s="71"/>
      <c r="AS48" s="71"/>
      <c r="AT48" s="71"/>
      <c r="AU48" s="71"/>
      <c r="AV48" s="71"/>
      <c r="AW48" s="71"/>
      <c r="AX48" s="71"/>
      <c r="AY48" s="71"/>
      <c r="AZ48" s="71"/>
      <c r="BA48" s="71"/>
      <c r="BB48" s="71"/>
      <c r="BC48" s="71"/>
      <c r="BD48" s="71"/>
      <c r="BE48" s="71"/>
      <c r="BF48" s="71"/>
      <c r="BG48" s="70"/>
      <c r="BH48" s="70"/>
      <c r="BI48" s="70"/>
      <c r="BJ48" s="70"/>
      <c r="BK48" s="70"/>
      <c r="BL48" s="70"/>
      <c r="BM48" s="70"/>
      <c r="BN48" s="70"/>
      <c r="BO48" s="70"/>
      <c r="BP48" s="70"/>
      <c r="BQ48" s="70"/>
      <c r="BR48" s="70"/>
      <c r="BS48" s="70"/>
      <c r="BT48" s="71"/>
      <c r="BU48" s="71"/>
      <c r="BV48" s="71"/>
      <c r="BW48" s="71"/>
      <c r="BX48" s="71"/>
      <c r="BY48" s="71"/>
      <c r="BZ48" s="71"/>
      <c r="CA48" s="71"/>
      <c r="CB48" s="71"/>
      <c r="CC48" s="71"/>
      <c r="CD48" s="71"/>
      <c r="CE48" s="71"/>
      <c r="CF48" s="71"/>
      <c r="CG48" s="71"/>
      <c r="CH48" s="71"/>
      <c r="CI48" s="71"/>
      <c r="CJ48" s="71"/>
      <c r="CK48" s="71"/>
      <c r="CL48" s="71"/>
      <c r="CM48" s="71"/>
      <c r="CN48" s="71"/>
      <c r="CO48" s="71"/>
      <c r="CP48" s="71"/>
      <c r="CQ48" s="71"/>
      <c r="CR48" s="71"/>
      <c r="CS48" s="71"/>
      <c r="CT48" s="71"/>
      <c r="CU48" s="71"/>
      <c r="CV48" s="71"/>
      <c r="CW48" s="71"/>
      <c r="CX48" s="71"/>
      <c r="CY48" s="71"/>
    </row>
    <row r="49" spans="1:103">
      <c r="B49" s="29" t="s">
        <v>192</v>
      </c>
      <c r="C49" s="64">
        <v>45726</v>
      </c>
      <c r="D49" s="64">
        <v>45731</v>
      </c>
      <c r="E49" s="62"/>
      <c r="F49">
        <v>6</v>
      </c>
      <c r="G49" s="86">
        <f t="shared" si="0"/>
        <v>0</v>
      </c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  <c r="AH49" s="71"/>
      <c r="AI49" s="71"/>
      <c r="AJ49" s="71"/>
      <c r="AK49" s="71"/>
      <c r="AL49" s="71"/>
      <c r="AM49" s="71"/>
      <c r="AN49" s="71"/>
      <c r="AO49" s="71"/>
      <c r="AP49" s="71"/>
      <c r="AQ49" s="71"/>
      <c r="AR49" s="71"/>
      <c r="AS49" s="71"/>
      <c r="AT49" s="71"/>
      <c r="AU49" s="71"/>
      <c r="AV49" s="71"/>
      <c r="AW49" s="71"/>
      <c r="AX49" s="71"/>
      <c r="AY49" s="71"/>
      <c r="AZ49" s="71"/>
      <c r="BA49" s="71"/>
      <c r="BB49" s="71"/>
      <c r="BC49" s="71"/>
      <c r="BD49" s="71"/>
      <c r="BE49" s="71"/>
      <c r="BF49" s="71"/>
      <c r="BG49" s="70"/>
      <c r="BH49" s="70"/>
      <c r="BI49" s="70"/>
      <c r="BJ49" s="70"/>
      <c r="BK49" s="70"/>
      <c r="BL49" s="70"/>
      <c r="BM49" s="71"/>
      <c r="BN49" s="71"/>
      <c r="BO49" s="71"/>
      <c r="BP49" s="71"/>
      <c r="BQ49" s="71"/>
      <c r="BR49" s="71"/>
      <c r="BS49" s="71"/>
      <c r="BT49" s="71"/>
      <c r="BU49" s="71"/>
      <c r="BV49" s="71"/>
      <c r="BW49" s="71"/>
      <c r="BX49" s="71"/>
      <c r="BY49" s="71"/>
      <c r="BZ49" s="71"/>
      <c r="CA49" s="71"/>
      <c r="CB49" s="71"/>
      <c r="CC49" s="71"/>
      <c r="CD49" s="71"/>
      <c r="CE49" s="71"/>
      <c r="CF49" s="71"/>
      <c r="CG49" s="71"/>
      <c r="CH49" s="71"/>
      <c r="CI49" s="71"/>
      <c r="CJ49" s="71"/>
      <c r="CK49" s="71"/>
      <c r="CL49" s="71"/>
      <c r="CM49" s="71"/>
      <c r="CN49" s="71"/>
      <c r="CO49" s="71"/>
      <c r="CP49" s="71"/>
      <c r="CQ49" s="71"/>
      <c r="CR49" s="71"/>
      <c r="CS49" s="71"/>
      <c r="CT49" s="71"/>
      <c r="CU49" s="71"/>
      <c r="CV49" s="71"/>
      <c r="CW49" s="71"/>
      <c r="CX49" s="71"/>
      <c r="CY49" s="71"/>
    </row>
    <row r="50" spans="1:103">
      <c r="B50" s="29" t="s">
        <v>193</v>
      </c>
      <c r="C50" s="64">
        <v>45732</v>
      </c>
      <c r="D50" s="64">
        <v>45734</v>
      </c>
      <c r="E50" s="62"/>
      <c r="F50">
        <v>3</v>
      </c>
      <c r="G50" s="86">
        <f t="shared" si="0"/>
        <v>0</v>
      </c>
      <c r="H50" s="71"/>
      <c r="I50" s="71"/>
      <c r="J50" s="71"/>
      <c r="K50" s="71"/>
      <c r="L50" s="71"/>
      <c r="M50" s="71"/>
      <c r="N50" s="71"/>
      <c r="O50" s="71"/>
      <c r="P50" s="71"/>
      <c r="Q50" s="71"/>
      <c r="R50" s="71"/>
      <c r="S50" s="71"/>
      <c r="T50" s="71"/>
      <c r="U50" s="71"/>
      <c r="V50" s="71"/>
      <c r="W50" s="71"/>
      <c r="X50" s="71"/>
      <c r="Y50" s="71"/>
      <c r="Z50" s="71"/>
      <c r="AA50" s="71"/>
      <c r="AB50" s="71"/>
      <c r="AC50" s="71"/>
      <c r="AD50" s="71"/>
      <c r="AE50" s="71"/>
      <c r="AF50" s="71"/>
      <c r="AG50" s="71"/>
      <c r="AH50" s="71"/>
      <c r="AI50" s="71"/>
      <c r="AJ50" s="71"/>
      <c r="AK50" s="71"/>
      <c r="AL50" s="71"/>
      <c r="AM50" s="71"/>
      <c r="AN50" s="71"/>
      <c r="AO50" s="71"/>
      <c r="AP50" s="71"/>
      <c r="AQ50" s="71"/>
      <c r="AR50" s="71"/>
      <c r="AS50" s="71"/>
      <c r="AT50" s="71"/>
      <c r="AU50" s="71"/>
      <c r="AV50" s="71"/>
      <c r="AW50" s="71"/>
      <c r="AX50" s="71"/>
      <c r="AY50" s="71"/>
      <c r="AZ50" s="71"/>
      <c r="BA50" s="71"/>
      <c r="BB50" s="71"/>
      <c r="BC50" s="71"/>
      <c r="BD50" s="71"/>
      <c r="BE50" s="71"/>
      <c r="BF50" s="71"/>
      <c r="BG50" s="71"/>
      <c r="BH50" s="71"/>
      <c r="BI50" s="71"/>
      <c r="BJ50" s="71"/>
      <c r="BK50" s="71"/>
      <c r="BL50" s="71"/>
      <c r="BM50" s="70"/>
      <c r="BN50" s="70"/>
      <c r="BO50" s="70"/>
      <c r="BP50" s="71"/>
      <c r="BQ50" s="71"/>
      <c r="BR50" s="71"/>
      <c r="BS50" s="71"/>
      <c r="BT50" s="71"/>
      <c r="BU50" s="71"/>
      <c r="BV50" s="71"/>
      <c r="BW50" s="71"/>
      <c r="BX50" s="71"/>
      <c r="BY50" s="71"/>
      <c r="BZ50" s="71"/>
      <c r="CA50" s="71"/>
      <c r="CB50" s="71"/>
      <c r="CC50" s="71"/>
      <c r="CD50" s="71"/>
      <c r="CE50" s="71"/>
      <c r="CF50" s="71"/>
      <c r="CG50" s="71"/>
      <c r="CH50" s="71"/>
      <c r="CI50" s="71"/>
      <c r="CJ50" s="71"/>
      <c r="CK50" s="71"/>
      <c r="CL50" s="71"/>
      <c r="CM50" s="71"/>
      <c r="CN50" s="71"/>
      <c r="CO50" s="71"/>
      <c r="CP50" s="71"/>
      <c r="CQ50" s="71"/>
      <c r="CR50" s="71"/>
      <c r="CS50" s="71"/>
      <c r="CT50" s="71"/>
      <c r="CU50" s="71"/>
      <c r="CV50" s="71"/>
      <c r="CW50" s="71"/>
      <c r="CX50" s="71"/>
      <c r="CY50" s="71"/>
    </row>
    <row r="51" spans="1:103">
      <c r="B51" s="29" t="s">
        <v>194</v>
      </c>
      <c r="C51" s="64">
        <v>45735</v>
      </c>
      <c r="D51" s="64">
        <v>45738</v>
      </c>
      <c r="E51" s="62"/>
      <c r="F51">
        <v>4</v>
      </c>
      <c r="G51" s="86">
        <f t="shared" si="0"/>
        <v>0</v>
      </c>
      <c r="H51" s="71"/>
      <c r="I51" s="71"/>
      <c r="J51" s="71"/>
      <c r="K51" s="71"/>
      <c r="L51" s="71"/>
      <c r="M51" s="71"/>
      <c r="N51" s="71"/>
      <c r="O51" s="71"/>
      <c r="P51" s="71"/>
      <c r="Q51" s="71"/>
      <c r="R51" s="71"/>
      <c r="S51" s="71"/>
      <c r="T51" s="71"/>
      <c r="U51" s="71"/>
      <c r="V51" s="71"/>
      <c r="W51" s="71"/>
      <c r="X51" s="71"/>
      <c r="Y51" s="71"/>
      <c r="Z51" s="71"/>
      <c r="AA51" s="71"/>
      <c r="AB51" s="71"/>
      <c r="AC51" s="71"/>
      <c r="AD51" s="71"/>
      <c r="AE51" s="71"/>
      <c r="AF51" s="71"/>
      <c r="AG51" s="71"/>
      <c r="AH51" s="71"/>
      <c r="AI51" s="71"/>
      <c r="AJ51" s="71"/>
      <c r="AK51" s="71"/>
      <c r="AL51" s="71"/>
      <c r="AM51" s="71"/>
      <c r="AN51" s="71"/>
      <c r="AO51" s="71"/>
      <c r="AP51" s="71"/>
      <c r="AQ51" s="71"/>
      <c r="AR51" s="71"/>
      <c r="AS51" s="71"/>
      <c r="AT51" s="71"/>
      <c r="AU51" s="71"/>
      <c r="AV51" s="71"/>
      <c r="AW51" s="71"/>
      <c r="AX51" s="71"/>
      <c r="AY51" s="71"/>
      <c r="AZ51" s="71"/>
      <c r="BA51" s="71"/>
      <c r="BB51" s="71"/>
      <c r="BC51" s="71"/>
      <c r="BD51" s="71"/>
      <c r="BE51" s="71"/>
      <c r="BF51" s="71"/>
      <c r="BG51" s="71"/>
      <c r="BH51" s="71"/>
      <c r="BI51" s="71"/>
      <c r="BJ51" s="71"/>
      <c r="BK51" s="71"/>
      <c r="BL51" s="71"/>
      <c r="BM51" s="71"/>
      <c r="BN51" s="71"/>
      <c r="BO51" s="71"/>
      <c r="BP51" s="70"/>
      <c r="BQ51" s="70"/>
      <c r="BR51" s="70"/>
      <c r="BS51" s="70"/>
      <c r="BT51" s="71"/>
      <c r="BU51" s="71"/>
      <c r="BV51" s="71"/>
      <c r="BW51" s="71"/>
      <c r="BX51" s="71"/>
      <c r="BY51" s="71"/>
      <c r="BZ51" s="71"/>
      <c r="CA51" s="71"/>
      <c r="CB51" s="71"/>
      <c r="CC51" s="71"/>
      <c r="CD51" s="71"/>
      <c r="CE51" s="71"/>
      <c r="CF51" s="71"/>
      <c r="CG51" s="71"/>
      <c r="CH51" s="71"/>
      <c r="CI51" s="71"/>
      <c r="CJ51" s="71"/>
      <c r="CK51" s="71"/>
      <c r="CL51" s="71"/>
      <c r="CM51" s="71"/>
      <c r="CN51" s="71"/>
      <c r="CO51" s="71"/>
      <c r="CP51" s="71"/>
      <c r="CQ51" s="71"/>
      <c r="CR51" s="71"/>
      <c r="CS51" s="71"/>
      <c r="CT51" s="71"/>
      <c r="CU51" s="71"/>
      <c r="CV51" s="71"/>
      <c r="CW51" s="71"/>
      <c r="CX51" s="71"/>
      <c r="CY51" s="71"/>
    </row>
    <row r="52" spans="1:103">
      <c r="A52" s="58">
        <v>4</v>
      </c>
      <c r="B52" s="58" t="s">
        <v>43</v>
      </c>
      <c r="C52" s="64">
        <v>45739</v>
      </c>
      <c r="D52" s="64">
        <v>45752</v>
      </c>
      <c r="E52" s="62"/>
      <c r="F52">
        <v>14</v>
      </c>
      <c r="G52" s="86">
        <f t="shared" si="0"/>
        <v>0</v>
      </c>
      <c r="H52" s="71"/>
      <c r="I52" s="71"/>
      <c r="J52" s="71"/>
      <c r="K52" s="71"/>
      <c r="L52" s="71"/>
      <c r="M52" s="71"/>
      <c r="N52" s="71"/>
      <c r="O52" s="71"/>
      <c r="P52" s="71"/>
      <c r="Q52" s="71"/>
      <c r="R52" s="71"/>
      <c r="S52" s="71"/>
      <c r="T52" s="71"/>
      <c r="U52" s="71"/>
      <c r="V52" s="71"/>
      <c r="W52" s="71"/>
      <c r="X52" s="71"/>
      <c r="Y52" s="71"/>
      <c r="Z52" s="71"/>
      <c r="AA52" s="71"/>
      <c r="AB52" s="71"/>
      <c r="AC52" s="71"/>
      <c r="AD52" s="71"/>
      <c r="AE52" s="71"/>
      <c r="AF52" s="71"/>
      <c r="AG52" s="71"/>
      <c r="AH52" s="71"/>
      <c r="AI52" s="71"/>
      <c r="AJ52" s="71"/>
      <c r="AK52" s="71"/>
      <c r="AL52" s="71"/>
      <c r="AM52" s="71"/>
      <c r="AN52" s="71"/>
      <c r="AO52" s="71"/>
      <c r="AP52" s="71"/>
      <c r="AQ52" s="71"/>
      <c r="AR52" s="71"/>
      <c r="AS52" s="71"/>
      <c r="AT52" s="71"/>
      <c r="AU52" s="71"/>
      <c r="AV52" s="71"/>
      <c r="AW52" s="71"/>
      <c r="AX52" s="71"/>
      <c r="AY52" s="71"/>
      <c r="AZ52" s="71"/>
      <c r="BA52" s="71"/>
      <c r="BB52" s="71"/>
      <c r="BC52" s="71"/>
      <c r="BD52" s="71"/>
      <c r="BE52" s="71"/>
      <c r="BF52" s="71"/>
      <c r="BG52" s="71"/>
      <c r="BH52" s="71"/>
      <c r="BI52" s="71"/>
      <c r="BJ52" s="71"/>
      <c r="BK52" s="71"/>
      <c r="BL52" s="71"/>
      <c r="BM52" s="71"/>
      <c r="BN52" s="71"/>
      <c r="BO52" s="71"/>
      <c r="BP52" s="71"/>
      <c r="BQ52" s="71"/>
      <c r="BR52" s="71"/>
      <c r="BS52" s="71"/>
      <c r="BT52" s="70"/>
      <c r="BU52" s="70"/>
      <c r="BV52" s="70"/>
      <c r="BW52" s="70"/>
      <c r="BX52" s="70"/>
      <c r="BY52" s="70"/>
      <c r="BZ52" s="70"/>
      <c r="CA52" s="70"/>
      <c r="CB52" s="70"/>
      <c r="CC52" s="70"/>
      <c r="CD52" s="70"/>
      <c r="CE52" s="70"/>
      <c r="CF52" s="70"/>
      <c r="CG52" s="70"/>
      <c r="CH52" s="71"/>
      <c r="CI52" s="71"/>
      <c r="CJ52" s="71"/>
      <c r="CK52" s="71"/>
      <c r="CL52" s="71"/>
      <c r="CM52" s="71"/>
      <c r="CN52" s="71"/>
      <c r="CO52" s="71"/>
      <c r="CP52" s="71"/>
      <c r="CQ52" s="71"/>
      <c r="CR52" s="71"/>
      <c r="CS52" s="71"/>
      <c r="CT52" s="71"/>
      <c r="CU52" s="71"/>
      <c r="CV52" s="71"/>
      <c r="CW52" s="71"/>
      <c r="CX52" s="71"/>
      <c r="CY52" s="71"/>
    </row>
    <row r="53" spans="1:103">
      <c r="A53" s="61">
        <v>4.0999999999999996</v>
      </c>
      <c r="B53" s="61" t="s">
        <v>195</v>
      </c>
      <c r="C53" s="64">
        <v>45739</v>
      </c>
      <c r="D53" s="64">
        <v>45742</v>
      </c>
      <c r="E53" s="62"/>
      <c r="F53">
        <v>4</v>
      </c>
      <c r="G53" s="86">
        <f t="shared" si="0"/>
        <v>0</v>
      </c>
      <c r="H53" s="71"/>
      <c r="I53" s="71"/>
      <c r="J53" s="71"/>
      <c r="K53" s="71"/>
      <c r="L53" s="71"/>
      <c r="M53" s="71"/>
      <c r="N53" s="71"/>
      <c r="O53" s="71"/>
      <c r="P53" s="71"/>
      <c r="Q53" s="71"/>
      <c r="R53" s="71"/>
      <c r="S53" s="71"/>
      <c r="T53" s="71"/>
      <c r="U53" s="71"/>
      <c r="V53" s="71"/>
      <c r="W53" s="71"/>
      <c r="X53" s="71"/>
      <c r="Y53" s="71"/>
      <c r="Z53" s="71"/>
      <c r="AA53" s="71"/>
      <c r="AB53" s="71"/>
      <c r="AC53" s="71"/>
      <c r="AD53" s="71"/>
      <c r="AE53" s="71"/>
      <c r="AF53" s="71"/>
      <c r="AG53" s="71"/>
      <c r="AH53" s="71"/>
      <c r="AI53" s="71"/>
      <c r="AJ53" s="71"/>
      <c r="AK53" s="71"/>
      <c r="AL53" s="71"/>
      <c r="AM53" s="71"/>
      <c r="AN53" s="71"/>
      <c r="AO53" s="71"/>
      <c r="AP53" s="71"/>
      <c r="AQ53" s="71"/>
      <c r="AR53" s="71"/>
      <c r="AS53" s="71"/>
      <c r="AT53" s="71"/>
      <c r="AU53" s="71"/>
      <c r="AV53" s="71"/>
      <c r="AW53" s="71"/>
      <c r="AX53" s="71"/>
      <c r="AY53" s="71"/>
      <c r="AZ53" s="71"/>
      <c r="BA53" s="71"/>
      <c r="BB53" s="71"/>
      <c r="BC53" s="71"/>
      <c r="BD53" s="71"/>
      <c r="BE53" s="71"/>
      <c r="BF53" s="71"/>
      <c r="BG53" s="71"/>
      <c r="BH53" s="71"/>
      <c r="BI53" s="71"/>
      <c r="BJ53" s="71"/>
      <c r="BK53" s="71"/>
      <c r="BL53" s="71"/>
      <c r="BM53" s="71"/>
      <c r="BN53" s="71"/>
      <c r="BO53" s="71"/>
      <c r="BP53" s="71"/>
      <c r="BQ53" s="71"/>
      <c r="BR53" s="71"/>
      <c r="BS53" s="71"/>
      <c r="BT53" s="70"/>
      <c r="BU53" s="70"/>
      <c r="BV53" s="70"/>
      <c r="BW53" s="70"/>
      <c r="BX53" s="71"/>
      <c r="BY53" s="71"/>
      <c r="BZ53" s="71"/>
      <c r="CA53" s="71"/>
      <c r="CB53" s="71"/>
      <c r="CC53" s="71"/>
      <c r="CD53" s="71"/>
      <c r="CE53" s="71"/>
      <c r="CF53" s="71"/>
      <c r="CG53" s="71"/>
      <c r="CH53" s="71"/>
      <c r="CI53" s="71"/>
      <c r="CJ53" s="71"/>
      <c r="CK53" s="71"/>
      <c r="CL53" s="71"/>
      <c r="CM53" s="71"/>
      <c r="CN53" s="71"/>
      <c r="CO53" s="71"/>
      <c r="CP53" s="71"/>
      <c r="CQ53" s="71"/>
      <c r="CR53" s="71"/>
      <c r="CS53" s="71"/>
      <c r="CT53" s="71"/>
      <c r="CU53" s="71"/>
      <c r="CV53" s="71"/>
      <c r="CW53" s="71"/>
      <c r="CX53" s="71"/>
      <c r="CY53" s="71"/>
    </row>
    <row r="54" spans="1:103">
      <c r="B54" s="29" t="s">
        <v>84</v>
      </c>
      <c r="C54" s="64">
        <v>45739</v>
      </c>
      <c r="D54" s="64">
        <v>45740</v>
      </c>
      <c r="E54" s="62"/>
      <c r="F54">
        <v>2</v>
      </c>
      <c r="G54" s="86">
        <f t="shared" si="0"/>
        <v>0</v>
      </c>
      <c r="H54" s="71"/>
      <c r="I54" s="71"/>
      <c r="J54" s="71"/>
      <c r="K54" s="71"/>
      <c r="L54" s="71"/>
      <c r="M54" s="71"/>
      <c r="N54" s="71"/>
      <c r="O54" s="71"/>
      <c r="P54" s="71"/>
      <c r="Q54" s="71"/>
      <c r="R54" s="71"/>
      <c r="S54" s="71"/>
      <c r="T54" s="71"/>
      <c r="U54" s="71"/>
      <c r="V54" s="71"/>
      <c r="W54" s="71"/>
      <c r="X54" s="71"/>
      <c r="Y54" s="71"/>
      <c r="Z54" s="71"/>
      <c r="AA54" s="71"/>
      <c r="AB54" s="71"/>
      <c r="AC54" s="71"/>
      <c r="AD54" s="71"/>
      <c r="AE54" s="71"/>
      <c r="AF54" s="71"/>
      <c r="AG54" s="71"/>
      <c r="AH54" s="71"/>
      <c r="AI54" s="71"/>
      <c r="AJ54" s="71"/>
      <c r="AK54" s="71"/>
      <c r="AL54" s="71"/>
      <c r="AM54" s="71"/>
      <c r="AN54" s="71"/>
      <c r="AO54" s="71"/>
      <c r="AP54" s="71"/>
      <c r="AQ54" s="71"/>
      <c r="AR54" s="71"/>
      <c r="AS54" s="71"/>
      <c r="AT54" s="71"/>
      <c r="AU54" s="71"/>
      <c r="AV54" s="71"/>
      <c r="AW54" s="71"/>
      <c r="AX54" s="71"/>
      <c r="AY54" s="71"/>
      <c r="AZ54" s="71"/>
      <c r="BA54" s="71"/>
      <c r="BB54" s="71"/>
      <c r="BC54" s="71"/>
      <c r="BD54" s="71"/>
      <c r="BE54" s="71"/>
      <c r="BF54" s="71"/>
      <c r="BG54" s="71"/>
      <c r="BH54" s="71"/>
      <c r="BI54" s="71"/>
      <c r="BJ54" s="71"/>
      <c r="BK54" s="71"/>
      <c r="BL54" s="71"/>
      <c r="BM54" s="71"/>
      <c r="BN54" s="71"/>
      <c r="BO54" s="71"/>
      <c r="BP54" s="71"/>
      <c r="BQ54" s="71"/>
      <c r="BR54" s="71"/>
      <c r="BS54" s="71"/>
      <c r="BT54" s="70"/>
      <c r="BU54" s="70"/>
      <c r="BV54" s="71"/>
      <c r="BW54" s="71"/>
      <c r="BX54" s="71"/>
      <c r="BY54" s="71"/>
      <c r="BZ54" s="71"/>
      <c r="CA54" s="71"/>
      <c r="CB54" s="71"/>
      <c r="CC54" s="71"/>
      <c r="CD54" s="71"/>
      <c r="CE54" s="71"/>
      <c r="CF54" s="71"/>
      <c r="CG54" s="71"/>
      <c r="CH54" s="71"/>
      <c r="CI54" s="71"/>
      <c r="CJ54" s="71"/>
      <c r="CK54" s="71"/>
      <c r="CL54" s="71"/>
      <c r="CM54" s="71"/>
      <c r="CN54" s="71"/>
      <c r="CO54" s="71"/>
      <c r="CP54" s="71"/>
      <c r="CQ54" s="71"/>
      <c r="CR54" s="71"/>
      <c r="CS54" s="71"/>
      <c r="CT54" s="71"/>
      <c r="CU54" s="71"/>
      <c r="CV54" s="71"/>
      <c r="CW54" s="71"/>
      <c r="CX54" s="71"/>
      <c r="CY54" s="71"/>
    </row>
    <row r="55" spans="1:103">
      <c r="B55" s="29" t="s">
        <v>196</v>
      </c>
      <c r="C55" s="64">
        <v>45739</v>
      </c>
      <c r="D55" s="64">
        <v>45740</v>
      </c>
      <c r="E55" s="62"/>
      <c r="F55">
        <v>2</v>
      </c>
      <c r="G55" s="86">
        <f t="shared" si="0"/>
        <v>0</v>
      </c>
      <c r="H55" s="71"/>
      <c r="I55" s="71"/>
      <c r="J55" s="71"/>
      <c r="K55" s="71"/>
      <c r="L55" s="71"/>
      <c r="M55" s="71"/>
      <c r="N55" s="71"/>
      <c r="O55" s="71"/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71"/>
      <c r="AA55" s="71"/>
      <c r="AB55" s="71"/>
      <c r="AC55" s="71"/>
      <c r="AD55" s="71"/>
      <c r="AE55" s="71"/>
      <c r="AF55" s="71"/>
      <c r="AG55" s="71"/>
      <c r="AH55" s="71"/>
      <c r="AI55" s="71"/>
      <c r="AJ55" s="71"/>
      <c r="AK55" s="71"/>
      <c r="AL55" s="71"/>
      <c r="AM55" s="71"/>
      <c r="AN55" s="71"/>
      <c r="AO55" s="71"/>
      <c r="AP55" s="71"/>
      <c r="AQ55" s="71"/>
      <c r="AR55" s="71"/>
      <c r="AS55" s="71"/>
      <c r="AT55" s="71"/>
      <c r="AU55" s="71"/>
      <c r="AV55" s="71"/>
      <c r="AW55" s="71"/>
      <c r="AX55" s="71"/>
      <c r="AY55" s="71"/>
      <c r="AZ55" s="71"/>
      <c r="BA55" s="71"/>
      <c r="BB55" s="71"/>
      <c r="BC55" s="71"/>
      <c r="BD55" s="71"/>
      <c r="BE55" s="71"/>
      <c r="BF55" s="71"/>
      <c r="BG55" s="71"/>
      <c r="BH55" s="71"/>
      <c r="BI55" s="71"/>
      <c r="BJ55" s="71"/>
      <c r="BK55" s="71"/>
      <c r="BL55" s="71"/>
      <c r="BM55" s="71"/>
      <c r="BN55" s="71"/>
      <c r="BO55" s="71"/>
      <c r="BP55" s="71"/>
      <c r="BQ55" s="71"/>
      <c r="BR55" s="71"/>
      <c r="BS55" s="71"/>
      <c r="BT55" s="71"/>
      <c r="BU55" s="71"/>
      <c r="BV55" s="70"/>
      <c r="BW55" s="70"/>
      <c r="BX55" s="71"/>
      <c r="BY55" s="71"/>
      <c r="BZ55" s="71"/>
      <c r="CA55" s="71"/>
      <c r="CB55" s="71"/>
      <c r="CC55" s="71"/>
      <c r="CD55" s="71"/>
      <c r="CE55" s="71"/>
      <c r="CF55" s="71"/>
      <c r="CG55" s="71"/>
      <c r="CH55" s="71"/>
      <c r="CI55" s="71"/>
      <c r="CJ55" s="71"/>
      <c r="CK55" s="71"/>
      <c r="CL55" s="71"/>
      <c r="CM55" s="71"/>
      <c r="CN55" s="71"/>
      <c r="CO55" s="71"/>
      <c r="CP55" s="71"/>
      <c r="CQ55" s="71"/>
      <c r="CR55" s="71"/>
      <c r="CS55" s="71"/>
      <c r="CT55" s="71"/>
      <c r="CU55" s="71"/>
      <c r="CV55" s="71"/>
      <c r="CW55" s="71"/>
      <c r="CX55" s="71"/>
      <c r="CY55" s="71"/>
    </row>
    <row r="56" spans="1:103">
      <c r="B56" s="29" t="s">
        <v>197</v>
      </c>
      <c r="C56" s="64">
        <v>45741</v>
      </c>
      <c r="D56" s="64">
        <v>45742</v>
      </c>
      <c r="E56" s="62"/>
      <c r="F56">
        <v>2</v>
      </c>
      <c r="G56" s="86">
        <f t="shared" si="0"/>
        <v>0</v>
      </c>
      <c r="H56" s="71"/>
      <c r="I56" s="71"/>
      <c r="J56" s="71"/>
      <c r="K56" s="71"/>
      <c r="L56" s="71"/>
      <c r="M56" s="71"/>
      <c r="N56" s="71"/>
      <c r="O56" s="71"/>
      <c r="P56" s="71"/>
      <c r="Q56" s="71"/>
      <c r="R56" s="71"/>
      <c r="S56" s="71"/>
      <c r="T56" s="71"/>
      <c r="U56" s="71"/>
      <c r="V56" s="71"/>
      <c r="W56" s="71"/>
      <c r="X56" s="71"/>
      <c r="Y56" s="71"/>
      <c r="Z56" s="71"/>
      <c r="AA56" s="71"/>
      <c r="AB56" s="71"/>
      <c r="AC56" s="71"/>
      <c r="AD56" s="71"/>
      <c r="AE56" s="71"/>
      <c r="AF56" s="71"/>
      <c r="AG56" s="71"/>
      <c r="AH56" s="71"/>
      <c r="AI56" s="71"/>
      <c r="AJ56" s="71"/>
      <c r="AK56" s="71"/>
      <c r="AL56" s="71"/>
      <c r="AM56" s="71"/>
      <c r="AN56" s="71"/>
      <c r="AO56" s="71"/>
      <c r="AP56" s="71"/>
      <c r="AQ56" s="71"/>
      <c r="AR56" s="71"/>
      <c r="AS56" s="71"/>
      <c r="AT56" s="71"/>
      <c r="AU56" s="71"/>
      <c r="AV56" s="71"/>
      <c r="AW56" s="71"/>
      <c r="AX56" s="71"/>
      <c r="AY56" s="71"/>
      <c r="AZ56" s="71"/>
      <c r="BA56" s="71"/>
      <c r="BB56" s="71"/>
      <c r="BC56" s="71"/>
      <c r="BD56" s="71"/>
      <c r="BE56" s="71"/>
      <c r="BF56" s="71"/>
      <c r="BG56" s="71"/>
      <c r="BH56" s="71"/>
      <c r="BI56" s="71"/>
      <c r="BJ56" s="71"/>
      <c r="BK56" s="71"/>
      <c r="BL56" s="71"/>
      <c r="BM56" s="71"/>
      <c r="BN56" s="71"/>
      <c r="BO56" s="71"/>
      <c r="BP56" s="71"/>
      <c r="BQ56" s="71"/>
      <c r="BR56" s="71"/>
      <c r="BS56" s="71"/>
      <c r="BT56" s="71"/>
      <c r="BU56" s="71"/>
      <c r="BV56" s="71"/>
      <c r="BW56" s="71"/>
      <c r="BX56" s="70"/>
      <c r="BY56" s="70"/>
      <c r="BZ56" s="71"/>
      <c r="CA56" s="71"/>
      <c r="CB56" s="71"/>
      <c r="CC56" s="71"/>
      <c r="CD56" s="71"/>
      <c r="CE56" s="71"/>
      <c r="CF56" s="71"/>
      <c r="CG56" s="71"/>
      <c r="CH56" s="71"/>
      <c r="CI56" s="71"/>
      <c r="CJ56" s="71"/>
      <c r="CK56" s="71"/>
      <c r="CL56" s="71"/>
      <c r="CM56" s="71"/>
      <c r="CN56" s="71"/>
      <c r="CO56" s="71"/>
      <c r="CP56" s="71"/>
      <c r="CQ56" s="71"/>
      <c r="CR56" s="71"/>
      <c r="CS56" s="71"/>
      <c r="CT56" s="71"/>
      <c r="CU56" s="71"/>
      <c r="CV56" s="71"/>
      <c r="CW56" s="71"/>
      <c r="CX56" s="71"/>
      <c r="CY56" s="71"/>
    </row>
    <row r="57" spans="1:103">
      <c r="A57" s="61">
        <v>4.2</v>
      </c>
      <c r="B57" s="61" t="s">
        <v>198</v>
      </c>
      <c r="C57" s="64">
        <v>45743</v>
      </c>
      <c r="D57" s="64">
        <v>45748</v>
      </c>
      <c r="E57" s="62"/>
      <c r="F57">
        <v>6</v>
      </c>
      <c r="G57" s="86">
        <f t="shared" si="0"/>
        <v>0</v>
      </c>
      <c r="H57" s="71"/>
      <c r="I57" s="71"/>
      <c r="J57" s="71"/>
      <c r="K57" s="71"/>
      <c r="L57" s="71"/>
      <c r="M57" s="71"/>
      <c r="N57" s="71"/>
      <c r="O57" s="71"/>
      <c r="P57" s="71"/>
      <c r="Q57" s="71"/>
      <c r="R57" s="71"/>
      <c r="S57" s="71"/>
      <c r="T57" s="71"/>
      <c r="U57" s="71"/>
      <c r="V57" s="71"/>
      <c r="W57" s="71"/>
      <c r="X57" s="71"/>
      <c r="Y57" s="71"/>
      <c r="Z57" s="71"/>
      <c r="AA57" s="71"/>
      <c r="AB57" s="71"/>
      <c r="AC57" s="71"/>
      <c r="AD57" s="71"/>
      <c r="AE57" s="71"/>
      <c r="AF57" s="71"/>
      <c r="AG57" s="71"/>
      <c r="AH57" s="71"/>
      <c r="AI57" s="71"/>
      <c r="AJ57" s="71"/>
      <c r="AK57" s="71"/>
      <c r="AL57" s="71"/>
      <c r="AM57" s="71"/>
      <c r="AN57" s="71"/>
      <c r="AO57" s="71"/>
      <c r="AP57" s="71"/>
      <c r="AQ57" s="71"/>
      <c r="AR57" s="71"/>
      <c r="AS57" s="71"/>
      <c r="AT57" s="71"/>
      <c r="AU57" s="71"/>
      <c r="AV57" s="71"/>
      <c r="AW57" s="71"/>
      <c r="AX57" s="71"/>
      <c r="AY57" s="71"/>
      <c r="AZ57" s="71"/>
      <c r="BA57" s="71"/>
      <c r="BB57" s="71"/>
      <c r="BC57" s="71"/>
      <c r="BD57" s="71"/>
      <c r="BE57" s="71"/>
      <c r="BF57" s="71"/>
      <c r="BG57" s="71"/>
      <c r="BH57" s="71"/>
      <c r="BI57" s="71"/>
      <c r="BJ57" s="71"/>
      <c r="BK57" s="71"/>
      <c r="BL57" s="71"/>
      <c r="BM57" s="71"/>
      <c r="BN57" s="71"/>
      <c r="BO57" s="71"/>
      <c r="BP57" s="71"/>
      <c r="BQ57" s="71"/>
      <c r="BR57" s="71"/>
      <c r="BS57" s="71"/>
      <c r="BT57" s="71"/>
      <c r="BU57" s="71"/>
      <c r="BV57" s="71"/>
      <c r="BW57" s="71"/>
      <c r="BX57" s="71"/>
      <c r="BY57" s="71"/>
      <c r="BZ57" s="70"/>
      <c r="CA57" s="70"/>
      <c r="CB57" s="70"/>
      <c r="CC57" s="70"/>
      <c r="CD57" s="70"/>
      <c r="CE57" s="70"/>
      <c r="CF57" s="71"/>
      <c r="CG57" s="71"/>
      <c r="CH57" s="71"/>
      <c r="CI57" s="71"/>
      <c r="CJ57" s="71"/>
      <c r="CK57" s="71"/>
      <c r="CL57" s="71"/>
      <c r="CM57" s="71"/>
      <c r="CN57" s="71"/>
      <c r="CO57" s="71"/>
      <c r="CP57" s="71"/>
      <c r="CQ57" s="71"/>
      <c r="CR57" s="71"/>
      <c r="CS57" s="71"/>
      <c r="CT57" s="71"/>
      <c r="CU57" s="71"/>
      <c r="CV57" s="71"/>
      <c r="CW57" s="71"/>
      <c r="CX57" s="71"/>
      <c r="CY57" s="71"/>
    </row>
    <row r="58" spans="1:103">
      <c r="B58" s="29" t="s">
        <v>199</v>
      </c>
      <c r="C58" s="64">
        <v>45743</v>
      </c>
      <c r="D58" s="64">
        <v>45744</v>
      </c>
      <c r="E58" s="62"/>
      <c r="F58">
        <v>2</v>
      </c>
      <c r="G58" s="86">
        <f t="shared" si="0"/>
        <v>0</v>
      </c>
      <c r="H58" s="71"/>
      <c r="I58" s="71"/>
      <c r="J58" s="71"/>
      <c r="K58" s="71"/>
      <c r="L58" s="71"/>
      <c r="M58" s="71"/>
      <c r="N58" s="71"/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  <c r="AA58" s="71"/>
      <c r="AB58" s="71"/>
      <c r="AC58" s="71"/>
      <c r="AD58" s="71"/>
      <c r="AE58" s="71"/>
      <c r="AF58" s="71"/>
      <c r="AG58" s="71"/>
      <c r="AH58" s="71"/>
      <c r="AI58" s="71"/>
      <c r="AJ58" s="71"/>
      <c r="AK58" s="71"/>
      <c r="AL58" s="71"/>
      <c r="AM58" s="71"/>
      <c r="AN58" s="71"/>
      <c r="AO58" s="71"/>
      <c r="AP58" s="71"/>
      <c r="AQ58" s="71"/>
      <c r="AR58" s="71"/>
      <c r="AS58" s="71"/>
      <c r="AT58" s="71"/>
      <c r="AU58" s="71"/>
      <c r="AV58" s="71"/>
      <c r="AW58" s="71"/>
      <c r="AX58" s="71"/>
      <c r="AY58" s="71"/>
      <c r="AZ58" s="71"/>
      <c r="BA58" s="71"/>
      <c r="BB58" s="71"/>
      <c r="BC58" s="71"/>
      <c r="BD58" s="71"/>
      <c r="BE58" s="71"/>
      <c r="BF58" s="71"/>
      <c r="BG58" s="71"/>
      <c r="BH58" s="71"/>
      <c r="BI58" s="71"/>
      <c r="BJ58" s="71"/>
      <c r="BK58" s="71"/>
      <c r="BL58" s="71"/>
      <c r="BM58" s="71"/>
      <c r="BN58" s="71"/>
      <c r="BO58" s="71"/>
      <c r="BP58" s="71"/>
      <c r="BQ58" s="71"/>
      <c r="BR58" s="71"/>
      <c r="BS58" s="71"/>
      <c r="BT58" s="71"/>
      <c r="BU58" s="71"/>
      <c r="BV58" s="71"/>
      <c r="BW58" s="71"/>
      <c r="BX58" s="71"/>
      <c r="BY58" s="71"/>
      <c r="BZ58" s="71"/>
      <c r="CA58" s="71"/>
      <c r="CB58" s="71"/>
      <c r="CC58" s="71"/>
      <c r="CD58" s="71"/>
      <c r="CE58" s="71"/>
      <c r="CF58" s="71"/>
      <c r="CG58" s="71"/>
      <c r="CH58" s="71"/>
      <c r="CI58" s="71"/>
      <c r="CJ58" s="71"/>
      <c r="CK58" s="71"/>
      <c r="CL58" s="71"/>
      <c r="CM58" s="71"/>
      <c r="CN58" s="71"/>
      <c r="CO58" s="71"/>
      <c r="CP58" s="71"/>
      <c r="CQ58" s="71"/>
      <c r="CR58" s="71"/>
      <c r="CS58" s="71"/>
      <c r="CT58" s="71"/>
      <c r="CU58" s="71"/>
      <c r="CV58" s="71"/>
      <c r="CW58" s="71"/>
      <c r="CX58" s="71"/>
      <c r="CY58" s="71"/>
    </row>
    <row r="59" spans="1:103">
      <c r="B59" s="29" t="s">
        <v>70</v>
      </c>
      <c r="C59" s="64">
        <v>45745</v>
      </c>
      <c r="D59" s="64">
        <v>45746</v>
      </c>
      <c r="E59" s="62"/>
      <c r="F59">
        <v>2</v>
      </c>
      <c r="G59" s="86">
        <f t="shared" si="0"/>
        <v>0</v>
      </c>
      <c r="H59" s="71"/>
      <c r="I59" s="71"/>
      <c r="J59" s="71"/>
      <c r="K59" s="71"/>
      <c r="L59" s="71"/>
      <c r="M59" s="71"/>
      <c r="N59" s="71"/>
      <c r="O59" s="71"/>
      <c r="P59" s="71"/>
      <c r="Q59" s="71"/>
      <c r="R59" s="71"/>
      <c r="S59" s="71"/>
      <c r="T59" s="71"/>
      <c r="U59" s="71"/>
      <c r="V59" s="71"/>
      <c r="W59" s="71"/>
      <c r="X59" s="71"/>
      <c r="Y59" s="71"/>
      <c r="Z59" s="71"/>
      <c r="AA59" s="71"/>
      <c r="AB59" s="71"/>
      <c r="AC59" s="71"/>
      <c r="AD59" s="71"/>
      <c r="AE59" s="71"/>
      <c r="AF59" s="71"/>
      <c r="AG59" s="71"/>
      <c r="AH59" s="71"/>
      <c r="AI59" s="71"/>
      <c r="AJ59" s="71"/>
      <c r="AK59" s="71"/>
      <c r="AL59" s="71"/>
      <c r="AM59" s="71"/>
      <c r="AN59" s="71"/>
      <c r="AO59" s="71"/>
      <c r="AP59" s="71"/>
      <c r="AQ59" s="71"/>
      <c r="AR59" s="71"/>
      <c r="AS59" s="71"/>
      <c r="AT59" s="71"/>
      <c r="AU59" s="71"/>
      <c r="AV59" s="71"/>
      <c r="AW59" s="71"/>
      <c r="AX59" s="71"/>
      <c r="AY59" s="71"/>
      <c r="AZ59" s="71"/>
      <c r="BA59" s="71"/>
      <c r="BB59" s="71"/>
      <c r="BC59" s="71"/>
      <c r="BD59" s="71"/>
      <c r="BE59" s="71"/>
      <c r="BF59" s="71"/>
      <c r="BG59" s="71"/>
      <c r="BH59" s="71"/>
      <c r="BI59" s="71"/>
      <c r="BJ59" s="71"/>
      <c r="BK59" s="71"/>
      <c r="BL59" s="71"/>
      <c r="BM59" s="71"/>
      <c r="BN59" s="71"/>
      <c r="BO59" s="71"/>
      <c r="BP59" s="71"/>
      <c r="BQ59" s="71"/>
      <c r="BR59" s="71"/>
      <c r="BS59" s="71"/>
      <c r="BT59" s="71"/>
      <c r="BU59" s="71"/>
      <c r="BV59" s="71"/>
      <c r="BW59" s="71"/>
      <c r="BX59" s="71"/>
      <c r="BY59" s="71"/>
      <c r="BZ59" s="71"/>
      <c r="CA59" s="71"/>
      <c r="CB59" s="71"/>
      <c r="CC59" s="71"/>
      <c r="CD59" s="71"/>
      <c r="CE59" s="71"/>
      <c r="CF59" s="71"/>
      <c r="CG59" s="71"/>
      <c r="CH59" s="71"/>
      <c r="CI59" s="71"/>
      <c r="CJ59" s="71"/>
      <c r="CK59" s="71"/>
      <c r="CL59" s="71"/>
      <c r="CM59" s="71"/>
      <c r="CN59" s="71"/>
      <c r="CO59" s="71"/>
      <c r="CP59" s="71"/>
      <c r="CQ59" s="71"/>
      <c r="CR59" s="71"/>
      <c r="CS59" s="71"/>
      <c r="CT59" s="71"/>
      <c r="CU59" s="71"/>
      <c r="CV59" s="71"/>
      <c r="CW59" s="71"/>
      <c r="CX59" s="71"/>
      <c r="CY59" s="71"/>
    </row>
    <row r="60" spans="1:103">
      <c r="B60" s="29" t="s">
        <v>86</v>
      </c>
      <c r="C60" s="64">
        <v>45747</v>
      </c>
      <c r="D60" s="64">
        <v>45748</v>
      </c>
      <c r="E60" s="62"/>
      <c r="F60">
        <v>2</v>
      </c>
      <c r="G60" s="86">
        <f t="shared" si="0"/>
        <v>0</v>
      </c>
    </row>
    <row r="61" spans="1:103">
      <c r="A61" s="61">
        <v>4.3</v>
      </c>
      <c r="B61" s="61" t="s">
        <v>107</v>
      </c>
      <c r="C61" s="64">
        <v>45749</v>
      </c>
      <c r="D61" s="64">
        <v>45752</v>
      </c>
      <c r="E61" s="62"/>
      <c r="F61">
        <v>4</v>
      </c>
      <c r="G61" s="86">
        <f t="shared" si="0"/>
        <v>0</v>
      </c>
    </row>
    <row r="62" spans="1:103">
      <c r="B62" s="29" t="s">
        <v>200</v>
      </c>
      <c r="C62" s="64">
        <v>45749</v>
      </c>
      <c r="D62" s="64">
        <v>45750</v>
      </c>
      <c r="E62" s="62"/>
      <c r="F62">
        <v>2</v>
      </c>
      <c r="G62" s="86">
        <f t="shared" si="0"/>
        <v>0</v>
      </c>
    </row>
    <row r="63" spans="1:103">
      <c r="B63" s="29" t="s">
        <v>113</v>
      </c>
      <c r="C63" s="64">
        <v>45749</v>
      </c>
      <c r="D63" s="64">
        <v>45750</v>
      </c>
      <c r="E63" s="62"/>
      <c r="F63">
        <v>2</v>
      </c>
      <c r="G63" s="86">
        <f t="shared" si="0"/>
        <v>0</v>
      </c>
    </row>
    <row r="64" spans="1:103">
      <c r="B64" s="29" t="s">
        <v>201</v>
      </c>
      <c r="C64" s="64">
        <v>45751</v>
      </c>
      <c r="D64" s="64">
        <v>45752</v>
      </c>
      <c r="E64" s="62"/>
      <c r="F64">
        <v>2</v>
      </c>
      <c r="G64" s="90">
        <f>SUM(H64:AQ64)/F64</f>
        <v>0</v>
      </c>
    </row>
    <row r="65" spans="1:7">
      <c r="A65" s="58">
        <v>5</v>
      </c>
      <c r="B65" s="58" t="s">
        <v>47</v>
      </c>
      <c r="C65" s="64">
        <v>45753</v>
      </c>
      <c r="D65" s="64">
        <v>45777</v>
      </c>
      <c r="E65" s="62"/>
      <c r="F65">
        <v>25</v>
      </c>
      <c r="G65" s="86">
        <f t="shared" si="0"/>
        <v>0</v>
      </c>
    </row>
    <row r="66" spans="1:7">
      <c r="A66" s="59">
        <v>5.0999999999999996</v>
      </c>
      <c r="B66" s="61" t="s">
        <v>202</v>
      </c>
      <c r="C66" s="64">
        <v>45753</v>
      </c>
      <c r="D66" s="64">
        <v>45757</v>
      </c>
      <c r="E66" s="62"/>
      <c r="F66">
        <v>5</v>
      </c>
      <c r="G66" s="86">
        <f t="shared" si="0"/>
        <v>0</v>
      </c>
    </row>
    <row r="67" spans="1:7">
      <c r="B67" s="29" t="s">
        <v>203</v>
      </c>
      <c r="C67" s="64">
        <v>45753</v>
      </c>
      <c r="D67" s="64">
        <v>45754</v>
      </c>
      <c r="E67" s="62"/>
      <c r="F67">
        <v>2</v>
      </c>
      <c r="G67" s="86">
        <f t="shared" si="0"/>
        <v>0</v>
      </c>
    </row>
    <row r="68" spans="1:7">
      <c r="B68" s="29" t="s">
        <v>204</v>
      </c>
      <c r="C68" s="64">
        <v>45755</v>
      </c>
      <c r="D68" s="64">
        <v>45756</v>
      </c>
      <c r="E68" s="62"/>
      <c r="F68">
        <v>2</v>
      </c>
      <c r="G68" s="86">
        <f t="shared" si="0"/>
        <v>0</v>
      </c>
    </row>
    <row r="69" spans="1:7">
      <c r="B69" s="29" t="s">
        <v>205</v>
      </c>
      <c r="C69" s="64">
        <v>45757</v>
      </c>
      <c r="D69" s="64">
        <v>45757</v>
      </c>
      <c r="E69" s="62"/>
      <c r="F69">
        <v>1</v>
      </c>
      <c r="G69" s="86">
        <f t="shared" si="0"/>
        <v>0</v>
      </c>
    </row>
    <row r="70" spans="1:7">
      <c r="A70" s="59">
        <v>5.2</v>
      </c>
      <c r="B70" s="61" t="s">
        <v>206</v>
      </c>
      <c r="C70" s="64">
        <v>45758</v>
      </c>
      <c r="D70" s="64">
        <v>45766</v>
      </c>
      <c r="E70" s="62"/>
      <c r="F70">
        <v>9</v>
      </c>
      <c r="G70" s="86">
        <f t="shared" si="0"/>
        <v>0</v>
      </c>
    </row>
    <row r="71" spans="1:7">
      <c r="B71" s="29" t="s">
        <v>207</v>
      </c>
      <c r="C71" s="64">
        <v>45758</v>
      </c>
      <c r="D71" s="64">
        <v>45760</v>
      </c>
      <c r="E71" s="62"/>
      <c r="F71">
        <v>3</v>
      </c>
      <c r="G71" s="86">
        <f t="shared" si="0"/>
        <v>0</v>
      </c>
    </row>
    <row r="72" spans="1:7">
      <c r="A72" s="54"/>
      <c r="B72" s="29" t="s">
        <v>208</v>
      </c>
      <c r="C72" s="64">
        <v>45761</v>
      </c>
      <c r="D72" s="64">
        <v>45763</v>
      </c>
      <c r="E72" s="62"/>
      <c r="F72">
        <v>3</v>
      </c>
      <c r="G72" s="86">
        <f t="shared" si="0"/>
        <v>0</v>
      </c>
    </row>
    <row r="73" spans="1:7">
      <c r="A73" s="54"/>
      <c r="B73" s="29" t="s">
        <v>209</v>
      </c>
      <c r="C73" s="64">
        <v>45764</v>
      </c>
      <c r="D73" s="64">
        <v>45766</v>
      </c>
      <c r="E73" s="62"/>
      <c r="F73">
        <v>3</v>
      </c>
      <c r="G73" s="86">
        <f t="shared" si="0"/>
        <v>0</v>
      </c>
    </row>
    <row r="74" spans="1:7">
      <c r="A74" s="59">
        <v>5.3</v>
      </c>
      <c r="B74" s="61" t="s">
        <v>210</v>
      </c>
      <c r="C74" s="64">
        <v>45736</v>
      </c>
      <c r="D74" s="64">
        <v>45777</v>
      </c>
      <c r="E74" s="62"/>
      <c r="F74">
        <v>11</v>
      </c>
      <c r="G74" s="86">
        <f t="shared" si="0"/>
        <v>0</v>
      </c>
    </row>
    <row r="75" spans="1:7">
      <c r="A75" s="29"/>
      <c r="B75" s="29" t="s">
        <v>211</v>
      </c>
      <c r="C75" s="64">
        <v>45767</v>
      </c>
      <c r="D75" s="64">
        <v>45770</v>
      </c>
      <c r="E75" s="62"/>
      <c r="F75">
        <v>4</v>
      </c>
      <c r="G75" s="86">
        <f t="shared" si="0"/>
        <v>0</v>
      </c>
    </row>
    <row r="76" spans="1:7">
      <c r="A76" s="29"/>
      <c r="B76" s="29" t="s">
        <v>123</v>
      </c>
      <c r="C76" s="64">
        <v>45740</v>
      </c>
      <c r="D76" s="64">
        <v>45773</v>
      </c>
      <c r="E76" s="62"/>
      <c r="F76">
        <v>3</v>
      </c>
      <c r="G76" s="86">
        <f t="shared" si="0"/>
        <v>0</v>
      </c>
    </row>
    <row r="77" spans="1:7">
      <c r="A77" s="29"/>
      <c r="B77" s="29" t="s">
        <v>212</v>
      </c>
      <c r="C77" s="64">
        <v>45774</v>
      </c>
      <c r="D77" s="64">
        <v>45777</v>
      </c>
      <c r="E77" s="62"/>
      <c r="F77">
        <v>4</v>
      </c>
      <c r="G77" s="86">
        <f t="shared" si="0"/>
        <v>0</v>
      </c>
    </row>
    <row r="78" spans="1:7">
      <c r="G78" s="86"/>
    </row>
    <row r="79" spans="1:7">
      <c r="G79" s="86"/>
    </row>
    <row r="80" spans="1:7">
      <c r="G80" s="90"/>
    </row>
  </sheetData>
  <conditionalFormatting sqref="G10:G80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{35B45579-A86F-4A79-8038-3BFE7983494C}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5B45579-A86F-4A79-8038-3BFE7983494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G10:G80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DB9966F185E1459E9B698DF908A1DF" ma:contentTypeVersion="14" ma:contentTypeDescription="Create a new document." ma:contentTypeScope="" ma:versionID="78571f1ac4c7f362afe7a1e188a3ad25">
  <xsd:schema xmlns:xsd="http://www.w3.org/2001/XMLSchema" xmlns:xs="http://www.w3.org/2001/XMLSchema" xmlns:p="http://schemas.microsoft.com/office/2006/metadata/properties" xmlns:ns2="5d9f1a06-4ddb-4e97-9049-82356157304c" xmlns:ns3="56a51324-e29e-4b86-a9df-42fdff6a29f0" targetNamespace="http://schemas.microsoft.com/office/2006/metadata/properties" ma:root="true" ma:fieldsID="ff0eb3b8e0f8110ac53940abeb326b67" ns2:_="" ns3:_="">
    <xsd:import namespace="5d9f1a06-4ddb-4e97-9049-82356157304c"/>
    <xsd:import namespace="56a51324-e29e-4b86-a9df-42fdff6a29f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9f1a06-4ddb-4e97-9049-8235615730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eb059ca-7a6c-48b4-989a-ff4079574bd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a51324-e29e-4b86-a9df-42fdff6a29f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9dfec3f-25ce-47e8-99a1-02da141a4b66}" ma:internalName="TaxCatchAll" ma:showField="CatchAllData" ma:web="56a51324-e29e-4b86-a9df-42fdff6a29f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9f1a06-4ddb-4e97-9049-82356157304c">
      <Terms xmlns="http://schemas.microsoft.com/office/infopath/2007/PartnerControls"/>
    </lcf76f155ced4ddcb4097134ff3c332f>
    <TaxCatchAll xmlns="56a51324-e29e-4b86-a9df-42fdff6a29f0" xsi:nil="true"/>
  </documentManagement>
</p:properties>
</file>

<file path=customXml/itemProps1.xml><?xml version="1.0" encoding="utf-8"?>
<ds:datastoreItem xmlns:ds="http://schemas.openxmlformats.org/officeDocument/2006/customXml" ds:itemID="{2DBF2BCE-6EB0-4660-BB70-31D65C4AF131}"/>
</file>

<file path=customXml/itemProps2.xml><?xml version="1.0" encoding="utf-8"?>
<ds:datastoreItem xmlns:ds="http://schemas.openxmlformats.org/officeDocument/2006/customXml" ds:itemID="{7C0CD2A1-C8D2-4319-9E46-5F63AD776372}"/>
</file>

<file path=customXml/itemProps3.xml><?xml version="1.0" encoding="utf-8"?>
<ds:datastoreItem xmlns:ds="http://schemas.openxmlformats.org/officeDocument/2006/customXml" ds:itemID="{A142637C-FBAC-48F2-B60D-5019D0C2436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Windows 10</dc:creator>
  <cp:keywords/>
  <dc:description/>
  <cp:lastModifiedBy>jayaprakash.rathina.kumar</cp:lastModifiedBy>
  <cp:revision/>
  <dcterms:created xsi:type="dcterms:W3CDTF">2023-02-01T07:44:41Z</dcterms:created>
  <dcterms:modified xsi:type="dcterms:W3CDTF">2025-05-27T23:51:36Z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0x0101007CDB9966F185E1459E9B698DF908A1DF</vt:lpwstr>
  </property>
  <property fmtid="{D5CDD505-2E9C-101B-9397-08002B2CF9AE}" pid="3" name="MediaServiceImageTags">
    <vt:lpwstr/>
  </property>
  <property fmtid="{D5CDD505-2E9C-101B-9397-08002B2CF9AE}" pid="4" name="Order">
    <vt:r8>15600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